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ul.meattle\Desktop\"/>
    </mc:Choice>
  </mc:AlternateContent>
  <xr:revisionPtr revIDLastSave="0" documentId="8_{6C3EF6B9-2C4C-4858-B280-1A97B8FDF9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iginal_Dataset" sheetId="1" r:id="rId1"/>
    <sheet name="Cleaned_Prepared_Data" sheetId="2" r:id="rId2"/>
    <sheet name="Dummy_Variables" sheetId="3" r:id="rId3"/>
    <sheet name="Simple_Reg_Marketing" sheetId="4" r:id="rId4"/>
    <sheet name="Simple_Reg_Footfall" sheetId="5" r:id="rId5"/>
    <sheet name="Multiple_Reg_Output" sheetId="6" r:id="rId6"/>
    <sheet name="Predictions_Residuals" sheetId="7" r:id="rId7"/>
    <sheet name="Model_Comparison" sheetId="8" r:id="rId8"/>
    <sheet name="Formula_Audit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B25" i="5"/>
  <c r="B24" i="5"/>
  <c r="B23" i="5"/>
  <c r="B25" i="4"/>
  <c r="B24" i="4"/>
  <c r="B23" i="4"/>
  <c r="L321" i="3"/>
  <c r="L321" i="7" s="1"/>
  <c r="K321" i="3"/>
  <c r="K321" i="7" s="1"/>
  <c r="J321" i="3"/>
  <c r="J321" i="7" s="1"/>
  <c r="I321" i="3"/>
  <c r="I321" i="7" s="1"/>
  <c r="H321" i="3"/>
  <c r="H321" i="7" s="1"/>
  <c r="G321" i="3"/>
  <c r="G321" i="7" s="1"/>
  <c r="F321" i="3"/>
  <c r="F321" i="7" s="1"/>
  <c r="E321" i="3"/>
  <c r="E321" i="7" s="1"/>
  <c r="D321" i="3"/>
  <c r="C321" i="3"/>
  <c r="C321" i="7" s="1"/>
  <c r="A321" i="3"/>
  <c r="A321" i="7" s="1"/>
  <c r="L320" i="3"/>
  <c r="L320" i="7" s="1"/>
  <c r="K320" i="3"/>
  <c r="K320" i="7" s="1"/>
  <c r="J320" i="3"/>
  <c r="J320" i="7" s="1"/>
  <c r="I320" i="3"/>
  <c r="I320" i="7" s="1"/>
  <c r="H320" i="3"/>
  <c r="H320" i="7" s="1"/>
  <c r="G320" i="3"/>
  <c r="G320" i="7" s="1"/>
  <c r="F320" i="3"/>
  <c r="F320" i="7" s="1"/>
  <c r="E320" i="3"/>
  <c r="E320" i="7" s="1"/>
  <c r="D320" i="3"/>
  <c r="C320" i="3"/>
  <c r="C320" i="7" s="1"/>
  <c r="A320" i="3"/>
  <c r="A320" i="7" s="1"/>
  <c r="L319" i="3"/>
  <c r="L319" i="7" s="1"/>
  <c r="K319" i="3"/>
  <c r="K319" i="7" s="1"/>
  <c r="J319" i="3"/>
  <c r="J319" i="7" s="1"/>
  <c r="I319" i="3"/>
  <c r="I319" i="7" s="1"/>
  <c r="H319" i="3"/>
  <c r="H319" i="7" s="1"/>
  <c r="G319" i="3"/>
  <c r="G319" i="7" s="1"/>
  <c r="F319" i="3"/>
  <c r="F319" i="7" s="1"/>
  <c r="E319" i="3"/>
  <c r="E319" i="7" s="1"/>
  <c r="D319" i="3"/>
  <c r="C319" i="3"/>
  <c r="C319" i="7" s="1"/>
  <c r="A319" i="3"/>
  <c r="A319" i="7" s="1"/>
  <c r="L318" i="3"/>
  <c r="L318" i="7" s="1"/>
  <c r="K318" i="3"/>
  <c r="K318" i="7" s="1"/>
  <c r="J318" i="3"/>
  <c r="J318" i="7" s="1"/>
  <c r="I318" i="3"/>
  <c r="I318" i="7" s="1"/>
  <c r="H318" i="3"/>
  <c r="H318" i="7" s="1"/>
  <c r="G318" i="3"/>
  <c r="G318" i="7" s="1"/>
  <c r="F318" i="3"/>
  <c r="F318" i="7" s="1"/>
  <c r="E318" i="3"/>
  <c r="E318" i="7" s="1"/>
  <c r="D318" i="3"/>
  <c r="C318" i="3"/>
  <c r="C318" i="7" s="1"/>
  <c r="A318" i="3"/>
  <c r="A318" i="7" s="1"/>
  <c r="L317" i="3"/>
  <c r="L317" i="7" s="1"/>
  <c r="K317" i="3"/>
  <c r="K317" i="7" s="1"/>
  <c r="J317" i="3"/>
  <c r="J317" i="7" s="1"/>
  <c r="I317" i="3"/>
  <c r="I317" i="7" s="1"/>
  <c r="H317" i="3"/>
  <c r="H317" i="7" s="1"/>
  <c r="G317" i="3"/>
  <c r="G317" i="7" s="1"/>
  <c r="F317" i="3"/>
  <c r="F317" i="7" s="1"/>
  <c r="E317" i="3"/>
  <c r="E317" i="7" s="1"/>
  <c r="D317" i="3"/>
  <c r="C317" i="3"/>
  <c r="C317" i="7" s="1"/>
  <c r="A317" i="3"/>
  <c r="A317" i="7" s="1"/>
  <c r="L316" i="3"/>
  <c r="L316" i="7" s="1"/>
  <c r="K316" i="3"/>
  <c r="K316" i="7" s="1"/>
  <c r="J316" i="3"/>
  <c r="J316" i="7" s="1"/>
  <c r="I316" i="3"/>
  <c r="I316" i="7" s="1"/>
  <c r="H316" i="3"/>
  <c r="H316" i="7" s="1"/>
  <c r="G316" i="3"/>
  <c r="G316" i="7" s="1"/>
  <c r="F316" i="3"/>
  <c r="F316" i="7" s="1"/>
  <c r="E316" i="3"/>
  <c r="E316" i="7" s="1"/>
  <c r="D316" i="3"/>
  <c r="C316" i="3"/>
  <c r="C316" i="7" s="1"/>
  <c r="A316" i="3"/>
  <c r="A316" i="7" s="1"/>
  <c r="L315" i="3"/>
  <c r="L315" i="7" s="1"/>
  <c r="K315" i="3"/>
  <c r="K315" i="7" s="1"/>
  <c r="J315" i="3"/>
  <c r="J315" i="7" s="1"/>
  <c r="I315" i="3"/>
  <c r="I315" i="7" s="1"/>
  <c r="H315" i="3"/>
  <c r="H315" i="7" s="1"/>
  <c r="G315" i="3"/>
  <c r="G315" i="7" s="1"/>
  <c r="F315" i="3"/>
  <c r="F315" i="7" s="1"/>
  <c r="E315" i="3"/>
  <c r="E315" i="7" s="1"/>
  <c r="D315" i="3"/>
  <c r="C315" i="3"/>
  <c r="C315" i="7" s="1"/>
  <c r="A315" i="3"/>
  <c r="A315" i="7" s="1"/>
  <c r="L314" i="3"/>
  <c r="L314" i="7" s="1"/>
  <c r="K314" i="3"/>
  <c r="K314" i="7" s="1"/>
  <c r="J314" i="3"/>
  <c r="J314" i="7" s="1"/>
  <c r="I314" i="3"/>
  <c r="I314" i="7" s="1"/>
  <c r="H314" i="3"/>
  <c r="H314" i="7" s="1"/>
  <c r="G314" i="3"/>
  <c r="G314" i="7" s="1"/>
  <c r="F314" i="3"/>
  <c r="F314" i="7" s="1"/>
  <c r="E314" i="3"/>
  <c r="E314" i="7" s="1"/>
  <c r="D314" i="3"/>
  <c r="C314" i="3"/>
  <c r="C314" i="7" s="1"/>
  <c r="A314" i="3"/>
  <c r="A314" i="7" s="1"/>
  <c r="L313" i="3"/>
  <c r="L313" i="7" s="1"/>
  <c r="K313" i="3"/>
  <c r="K313" i="7" s="1"/>
  <c r="J313" i="3"/>
  <c r="J313" i="7" s="1"/>
  <c r="I313" i="3"/>
  <c r="I313" i="7" s="1"/>
  <c r="H313" i="3"/>
  <c r="H313" i="7" s="1"/>
  <c r="G313" i="3"/>
  <c r="G313" i="7" s="1"/>
  <c r="F313" i="3"/>
  <c r="F313" i="7" s="1"/>
  <c r="E313" i="3"/>
  <c r="E313" i="7" s="1"/>
  <c r="D313" i="3"/>
  <c r="C313" i="3"/>
  <c r="C313" i="7" s="1"/>
  <c r="A313" i="3"/>
  <c r="A313" i="7" s="1"/>
  <c r="L312" i="3"/>
  <c r="L312" i="7" s="1"/>
  <c r="K312" i="3"/>
  <c r="K312" i="7" s="1"/>
  <c r="J312" i="3"/>
  <c r="J312" i="7" s="1"/>
  <c r="I312" i="3"/>
  <c r="I312" i="7" s="1"/>
  <c r="H312" i="3"/>
  <c r="H312" i="7" s="1"/>
  <c r="G312" i="3"/>
  <c r="G312" i="7" s="1"/>
  <c r="F312" i="3"/>
  <c r="F312" i="7" s="1"/>
  <c r="E312" i="3"/>
  <c r="E312" i="7" s="1"/>
  <c r="D312" i="3"/>
  <c r="C312" i="3"/>
  <c r="C312" i="7" s="1"/>
  <c r="A312" i="3"/>
  <c r="A312" i="7" s="1"/>
  <c r="L311" i="3"/>
  <c r="L311" i="7" s="1"/>
  <c r="K311" i="3"/>
  <c r="K311" i="7" s="1"/>
  <c r="J311" i="3"/>
  <c r="J311" i="7" s="1"/>
  <c r="I311" i="3"/>
  <c r="I311" i="7" s="1"/>
  <c r="H311" i="3"/>
  <c r="H311" i="7" s="1"/>
  <c r="G311" i="3"/>
  <c r="G311" i="7" s="1"/>
  <c r="F311" i="3"/>
  <c r="F311" i="7" s="1"/>
  <c r="E311" i="3"/>
  <c r="E311" i="7" s="1"/>
  <c r="D311" i="3"/>
  <c r="C311" i="3"/>
  <c r="C311" i="7" s="1"/>
  <c r="A311" i="3"/>
  <c r="A311" i="7" s="1"/>
  <c r="L310" i="3"/>
  <c r="L310" i="7" s="1"/>
  <c r="K310" i="3"/>
  <c r="K310" i="7" s="1"/>
  <c r="J310" i="3"/>
  <c r="J310" i="7" s="1"/>
  <c r="I310" i="3"/>
  <c r="I310" i="7" s="1"/>
  <c r="H310" i="3"/>
  <c r="H310" i="7" s="1"/>
  <c r="G310" i="3"/>
  <c r="G310" i="7" s="1"/>
  <c r="F310" i="3"/>
  <c r="F310" i="7" s="1"/>
  <c r="E310" i="3"/>
  <c r="E310" i="7" s="1"/>
  <c r="D310" i="3"/>
  <c r="C310" i="3"/>
  <c r="C310" i="7" s="1"/>
  <c r="A310" i="3"/>
  <c r="A310" i="7" s="1"/>
  <c r="L309" i="3"/>
  <c r="L309" i="7" s="1"/>
  <c r="K309" i="3"/>
  <c r="K309" i="7" s="1"/>
  <c r="J309" i="3"/>
  <c r="J309" i="7" s="1"/>
  <c r="I309" i="3"/>
  <c r="I309" i="7" s="1"/>
  <c r="H309" i="3"/>
  <c r="H309" i="7" s="1"/>
  <c r="G309" i="3"/>
  <c r="G309" i="7" s="1"/>
  <c r="F309" i="3"/>
  <c r="F309" i="7" s="1"/>
  <c r="E309" i="3"/>
  <c r="E309" i="7" s="1"/>
  <c r="D309" i="3"/>
  <c r="C309" i="3"/>
  <c r="C309" i="7" s="1"/>
  <c r="A309" i="3"/>
  <c r="A309" i="7" s="1"/>
  <c r="L308" i="3"/>
  <c r="L308" i="7" s="1"/>
  <c r="K308" i="3"/>
  <c r="K308" i="7" s="1"/>
  <c r="J308" i="3"/>
  <c r="J308" i="7" s="1"/>
  <c r="I308" i="3"/>
  <c r="I308" i="7" s="1"/>
  <c r="H308" i="3"/>
  <c r="H308" i="7" s="1"/>
  <c r="G308" i="3"/>
  <c r="G308" i="7" s="1"/>
  <c r="F308" i="3"/>
  <c r="F308" i="7" s="1"/>
  <c r="E308" i="3"/>
  <c r="E308" i="7" s="1"/>
  <c r="D308" i="3"/>
  <c r="C308" i="3"/>
  <c r="C308" i="7" s="1"/>
  <c r="A308" i="3"/>
  <c r="A308" i="7" s="1"/>
  <c r="L307" i="3"/>
  <c r="L307" i="7" s="1"/>
  <c r="K307" i="3"/>
  <c r="K307" i="7" s="1"/>
  <c r="J307" i="3"/>
  <c r="J307" i="7" s="1"/>
  <c r="I307" i="3"/>
  <c r="I307" i="7" s="1"/>
  <c r="H307" i="3"/>
  <c r="H307" i="7" s="1"/>
  <c r="G307" i="3"/>
  <c r="G307" i="7" s="1"/>
  <c r="F307" i="3"/>
  <c r="F307" i="7" s="1"/>
  <c r="E307" i="3"/>
  <c r="E307" i="7" s="1"/>
  <c r="D307" i="3"/>
  <c r="C307" i="3"/>
  <c r="C307" i="7" s="1"/>
  <c r="A307" i="3"/>
  <c r="A307" i="7" s="1"/>
  <c r="L306" i="3"/>
  <c r="L306" i="7" s="1"/>
  <c r="K306" i="3"/>
  <c r="K306" i="7" s="1"/>
  <c r="J306" i="3"/>
  <c r="J306" i="7" s="1"/>
  <c r="I306" i="3"/>
  <c r="I306" i="7" s="1"/>
  <c r="H306" i="3"/>
  <c r="H306" i="7" s="1"/>
  <c r="G306" i="3"/>
  <c r="G306" i="7" s="1"/>
  <c r="F306" i="3"/>
  <c r="F306" i="7" s="1"/>
  <c r="E306" i="3"/>
  <c r="E306" i="7" s="1"/>
  <c r="D306" i="3"/>
  <c r="C306" i="3"/>
  <c r="C306" i="7" s="1"/>
  <c r="A306" i="3"/>
  <c r="A306" i="7" s="1"/>
  <c r="L305" i="3"/>
  <c r="L305" i="7" s="1"/>
  <c r="K305" i="3"/>
  <c r="K305" i="7" s="1"/>
  <c r="J305" i="3"/>
  <c r="J305" i="7" s="1"/>
  <c r="I305" i="3"/>
  <c r="I305" i="7" s="1"/>
  <c r="H305" i="3"/>
  <c r="H305" i="7" s="1"/>
  <c r="G305" i="3"/>
  <c r="G305" i="7" s="1"/>
  <c r="F305" i="3"/>
  <c r="F305" i="7" s="1"/>
  <c r="E305" i="3"/>
  <c r="E305" i="7" s="1"/>
  <c r="D305" i="3"/>
  <c r="C305" i="3"/>
  <c r="C305" i="7" s="1"/>
  <c r="A305" i="3"/>
  <c r="A305" i="7" s="1"/>
  <c r="L304" i="3"/>
  <c r="L304" i="7" s="1"/>
  <c r="K304" i="3"/>
  <c r="K304" i="7" s="1"/>
  <c r="J304" i="3"/>
  <c r="J304" i="7" s="1"/>
  <c r="I304" i="3"/>
  <c r="I304" i="7" s="1"/>
  <c r="H304" i="3"/>
  <c r="H304" i="7" s="1"/>
  <c r="G304" i="3"/>
  <c r="G304" i="7" s="1"/>
  <c r="F304" i="3"/>
  <c r="F304" i="7" s="1"/>
  <c r="E304" i="3"/>
  <c r="E304" i="7" s="1"/>
  <c r="D304" i="3"/>
  <c r="C304" i="3"/>
  <c r="C304" i="7" s="1"/>
  <c r="A304" i="3"/>
  <c r="A304" i="7" s="1"/>
  <c r="L303" i="3"/>
  <c r="L303" i="7" s="1"/>
  <c r="K303" i="3"/>
  <c r="K303" i="7" s="1"/>
  <c r="J303" i="3"/>
  <c r="J303" i="7" s="1"/>
  <c r="I303" i="3"/>
  <c r="I303" i="7" s="1"/>
  <c r="H303" i="3"/>
  <c r="H303" i="7" s="1"/>
  <c r="G303" i="3"/>
  <c r="G303" i="7" s="1"/>
  <c r="F303" i="3"/>
  <c r="F303" i="7" s="1"/>
  <c r="E303" i="3"/>
  <c r="E303" i="7" s="1"/>
  <c r="D303" i="3"/>
  <c r="C303" i="3"/>
  <c r="C303" i="7" s="1"/>
  <c r="A303" i="3"/>
  <c r="A303" i="7" s="1"/>
  <c r="L302" i="3"/>
  <c r="L302" i="7" s="1"/>
  <c r="K302" i="3"/>
  <c r="K302" i="7" s="1"/>
  <c r="J302" i="3"/>
  <c r="J302" i="7" s="1"/>
  <c r="I302" i="3"/>
  <c r="I302" i="7" s="1"/>
  <c r="H302" i="3"/>
  <c r="H302" i="7" s="1"/>
  <c r="G302" i="3"/>
  <c r="G302" i="7" s="1"/>
  <c r="F302" i="3"/>
  <c r="F302" i="7" s="1"/>
  <c r="E302" i="3"/>
  <c r="E302" i="7" s="1"/>
  <c r="D302" i="3"/>
  <c r="C302" i="3"/>
  <c r="C302" i="7" s="1"/>
  <c r="A302" i="3"/>
  <c r="A302" i="7" s="1"/>
  <c r="L301" i="3"/>
  <c r="L301" i="7" s="1"/>
  <c r="K301" i="3"/>
  <c r="K301" i="7" s="1"/>
  <c r="J301" i="3"/>
  <c r="J301" i="7" s="1"/>
  <c r="I301" i="3"/>
  <c r="I301" i="7" s="1"/>
  <c r="H301" i="3"/>
  <c r="H301" i="7" s="1"/>
  <c r="G301" i="3"/>
  <c r="G301" i="7" s="1"/>
  <c r="F301" i="3"/>
  <c r="F301" i="7" s="1"/>
  <c r="E301" i="3"/>
  <c r="E301" i="7" s="1"/>
  <c r="D301" i="3"/>
  <c r="C301" i="3"/>
  <c r="C301" i="7" s="1"/>
  <c r="A301" i="3"/>
  <c r="A301" i="7" s="1"/>
  <c r="L300" i="3"/>
  <c r="L300" i="7" s="1"/>
  <c r="K300" i="3"/>
  <c r="K300" i="7" s="1"/>
  <c r="J300" i="3"/>
  <c r="J300" i="7" s="1"/>
  <c r="I300" i="3"/>
  <c r="I300" i="7" s="1"/>
  <c r="H300" i="3"/>
  <c r="H300" i="7" s="1"/>
  <c r="G300" i="3"/>
  <c r="G300" i="7" s="1"/>
  <c r="F300" i="3"/>
  <c r="F300" i="7" s="1"/>
  <c r="E300" i="3"/>
  <c r="E300" i="7" s="1"/>
  <c r="D300" i="3"/>
  <c r="C300" i="3"/>
  <c r="C300" i="7" s="1"/>
  <c r="A300" i="3"/>
  <c r="A300" i="7" s="1"/>
  <c r="L299" i="3"/>
  <c r="L299" i="7" s="1"/>
  <c r="K299" i="3"/>
  <c r="K299" i="7" s="1"/>
  <c r="J299" i="3"/>
  <c r="J299" i="7" s="1"/>
  <c r="I299" i="3"/>
  <c r="I299" i="7" s="1"/>
  <c r="H299" i="3"/>
  <c r="H299" i="7" s="1"/>
  <c r="G299" i="3"/>
  <c r="G299" i="7" s="1"/>
  <c r="F299" i="3"/>
  <c r="F299" i="7" s="1"/>
  <c r="E299" i="3"/>
  <c r="E299" i="7" s="1"/>
  <c r="D299" i="3"/>
  <c r="C299" i="3"/>
  <c r="C299" i="7" s="1"/>
  <c r="A299" i="3"/>
  <c r="A299" i="7" s="1"/>
  <c r="L298" i="3"/>
  <c r="L298" i="7" s="1"/>
  <c r="K298" i="3"/>
  <c r="K298" i="7" s="1"/>
  <c r="J298" i="3"/>
  <c r="J298" i="7" s="1"/>
  <c r="I298" i="3"/>
  <c r="I298" i="7" s="1"/>
  <c r="H298" i="3"/>
  <c r="H298" i="7" s="1"/>
  <c r="G298" i="3"/>
  <c r="G298" i="7" s="1"/>
  <c r="F298" i="3"/>
  <c r="F298" i="7" s="1"/>
  <c r="E298" i="3"/>
  <c r="E298" i="7" s="1"/>
  <c r="D298" i="3"/>
  <c r="C298" i="3"/>
  <c r="C298" i="7" s="1"/>
  <c r="A298" i="3"/>
  <c r="A298" i="7" s="1"/>
  <c r="L297" i="3"/>
  <c r="L297" i="7" s="1"/>
  <c r="K297" i="3"/>
  <c r="K297" i="7" s="1"/>
  <c r="J297" i="3"/>
  <c r="J297" i="7" s="1"/>
  <c r="I297" i="3"/>
  <c r="I297" i="7" s="1"/>
  <c r="H297" i="3"/>
  <c r="H297" i="7" s="1"/>
  <c r="G297" i="3"/>
  <c r="G297" i="7" s="1"/>
  <c r="F297" i="3"/>
  <c r="F297" i="7" s="1"/>
  <c r="E297" i="3"/>
  <c r="E297" i="7" s="1"/>
  <c r="D297" i="3"/>
  <c r="C297" i="3"/>
  <c r="C297" i="7" s="1"/>
  <c r="A297" i="3"/>
  <c r="A297" i="7" s="1"/>
  <c r="L296" i="3"/>
  <c r="L296" i="7" s="1"/>
  <c r="K296" i="3"/>
  <c r="K296" i="7" s="1"/>
  <c r="J296" i="3"/>
  <c r="J296" i="7" s="1"/>
  <c r="I296" i="3"/>
  <c r="I296" i="7" s="1"/>
  <c r="H296" i="3"/>
  <c r="H296" i="7" s="1"/>
  <c r="G296" i="3"/>
  <c r="G296" i="7" s="1"/>
  <c r="F296" i="3"/>
  <c r="F296" i="7" s="1"/>
  <c r="E296" i="3"/>
  <c r="E296" i="7" s="1"/>
  <c r="D296" i="3"/>
  <c r="C296" i="3"/>
  <c r="C296" i="7" s="1"/>
  <c r="A296" i="3"/>
  <c r="A296" i="7" s="1"/>
  <c r="L295" i="3"/>
  <c r="L295" i="7" s="1"/>
  <c r="K295" i="3"/>
  <c r="K295" i="7" s="1"/>
  <c r="J295" i="3"/>
  <c r="J295" i="7" s="1"/>
  <c r="I295" i="3"/>
  <c r="I295" i="7" s="1"/>
  <c r="H295" i="3"/>
  <c r="H295" i="7" s="1"/>
  <c r="G295" i="3"/>
  <c r="G295" i="7" s="1"/>
  <c r="F295" i="3"/>
  <c r="F295" i="7" s="1"/>
  <c r="E295" i="3"/>
  <c r="E295" i="7" s="1"/>
  <c r="D295" i="3"/>
  <c r="C295" i="3"/>
  <c r="C295" i="7" s="1"/>
  <c r="A295" i="3"/>
  <c r="A295" i="7" s="1"/>
  <c r="L294" i="3"/>
  <c r="L294" i="7" s="1"/>
  <c r="K294" i="3"/>
  <c r="K294" i="7" s="1"/>
  <c r="J294" i="3"/>
  <c r="J294" i="7" s="1"/>
  <c r="I294" i="3"/>
  <c r="I294" i="7" s="1"/>
  <c r="H294" i="3"/>
  <c r="H294" i="7" s="1"/>
  <c r="G294" i="3"/>
  <c r="G294" i="7" s="1"/>
  <c r="F294" i="3"/>
  <c r="F294" i="7" s="1"/>
  <c r="E294" i="3"/>
  <c r="E294" i="7" s="1"/>
  <c r="D294" i="3"/>
  <c r="C294" i="3"/>
  <c r="C294" i="7" s="1"/>
  <c r="A294" i="3"/>
  <c r="A294" i="7" s="1"/>
  <c r="O293" i="3"/>
  <c r="O293" i="7" s="1"/>
  <c r="L293" i="3"/>
  <c r="L293" i="7" s="1"/>
  <c r="K293" i="3"/>
  <c r="K293" i="7" s="1"/>
  <c r="J293" i="3"/>
  <c r="J293" i="7" s="1"/>
  <c r="I293" i="3"/>
  <c r="I293" i="7" s="1"/>
  <c r="H293" i="3"/>
  <c r="H293" i="7" s="1"/>
  <c r="G293" i="3"/>
  <c r="G293" i="7" s="1"/>
  <c r="F293" i="3"/>
  <c r="F293" i="7" s="1"/>
  <c r="E293" i="3"/>
  <c r="E293" i="7" s="1"/>
  <c r="D293" i="3"/>
  <c r="D293" i="7" s="1"/>
  <c r="C293" i="3"/>
  <c r="C293" i="7" s="1"/>
  <c r="A293" i="3"/>
  <c r="A293" i="7" s="1"/>
  <c r="O292" i="3"/>
  <c r="O292" i="7" s="1"/>
  <c r="L292" i="3"/>
  <c r="L292" i="7" s="1"/>
  <c r="K292" i="3"/>
  <c r="K292" i="7" s="1"/>
  <c r="J292" i="3"/>
  <c r="J292" i="7" s="1"/>
  <c r="I292" i="3"/>
  <c r="I292" i="7" s="1"/>
  <c r="H292" i="3"/>
  <c r="H292" i="7" s="1"/>
  <c r="G292" i="3"/>
  <c r="G292" i="7" s="1"/>
  <c r="F292" i="3"/>
  <c r="F292" i="7" s="1"/>
  <c r="E292" i="3"/>
  <c r="E292" i="7" s="1"/>
  <c r="D292" i="3"/>
  <c r="D292" i="7" s="1"/>
  <c r="C292" i="3"/>
  <c r="C292" i="7" s="1"/>
  <c r="A292" i="3"/>
  <c r="A292" i="7" s="1"/>
  <c r="O291" i="3"/>
  <c r="O291" i="7" s="1"/>
  <c r="L291" i="3"/>
  <c r="L291" i="7" s="1"/>
  <c r="K291" i="3"/>
  <c r="K291" i="7" s="1"/>
  <c r="J291" i="3"/>
  <c r="J291" i="7" s="1"/>
  <c r="I291" i="3"/>
  <c r="I291" i="7" s="1"/>
  <c r="H291" i="3"/>
  <c r="H291" i="7" s="1"/>
  <c r="G291" i="3"/>
  <c r="G291" i="7" s="1"/>
  <c r="F291" i="3"/>
  <c r="F291" i="7" s="1"/>
  <c r="E291" i="3"/>
  <c r="E291" i="7" s="1"/>
  <c r="D291" i="3"/>
  <c r="D291" i="7" s="1"/>
  <c r="C291" i="3"/>
  <c r="C291" i="7" s="1"/>
  <c r="A291" i="3"/>
  <c r="A291" i="7" s="1"/>
  <c r="O290" i="3"/>
  <c r="O290" i="7" s="1"/>
  <c r="L290" i="3"/>
  <c r="L290" i="7" s="1"/>
  <c r="K290" i="3"/>
  <c r="K290" i="7" s="1"/>
  <c r="J290" i="3"/>
  <c r="J290" i="7" s="1"/>
  <c r="I290" i="3"/>
  <c r="I290" i="7" s="1"/>
  <c r="H290" i="3"/>
  <c r="H290" i="7" s="1"/>
  <c r="G290" i="3"/>
  <c r="G290" i="7" s="1"/>
  <c r="F290" i="3"/>
  <c r="F290" i="7" s="1"/>
  <c r="E290" i="3"/>
  <c r="E290" i="7" s="1"/>
  <c r="D290" i="3"/>
  <c r="D290" i="7" s="1"/>
  <c r="C290" i="3"/>
  <c r="C290" i="7" s="1"/>
  <c r="A290" i="3"/>
  <c r="A290" i="7" s="1"/>
  <c r="O289" i="3"/>
  <c r="O289" i="7" s="1"/>
  <c r="L289" i="3"/>
  <c r="L289" i="7" s="1"/>
  <c r="K289" i="3"/>
  <c r="K289" i="7" s="1"/>
  <c r="J289" i="3"/>
  <c r="J289" i="7" s="1"/>
  <c r="I289" i="3"/>
  <c r="I289" i="7" s="1"/>
  <c r="H289" i="3"/>
  <c r="H289" i="7" s="1"/>
  <c r="G289" i="3"/>
  <c r="G289" i="7" s="1"/>
  <c r="F289" i="3"/>
  <c r="F289" i="7" s="1"/>
  <c r="E289" i="3"/>
  <c r="E289" i="7" s="1"/>
  <c r="D289" i="3"/>
  <c r="D289" i="7" s="1"/>
  <c r="C289" i="3"/>
  <c r="C289" i="7" s="1"/>
  <c r="A289" i="3"/>
  <c r="A289" i="7" s="1"/>
  <c r="O288" i="3"/>
  <c r="O288" i="7" s="1"/>
  <c r="L288" i="3"/>
  <c r="L288" i="7" s="1"/>
  <c r="K288" i="3"/>
  <c r="K288" i="7" s="1"/>
  <c r="J288" i="3"/>
  <c r="J288" i="7" s="1"/>
  <c r="I288" i="3"/>
  <c r="I288" i="7" s="1"/>
  <c r="H288" i="3"/>
  <c r="H288" i="7" s="1"/>
  <c r="G288" i="3"/>
  <c r="G288" i="7" s="1"/>
  <c r="F288" i="3"/>
  <c r="F288" i="7" s="1"/>
  <c r="E288" i="3"/>
  <c r="E288" i="7" s="1"/>
  <c r="D288" i="3"/>
  <c r="D288" i="7" s="1"/>
  <c r="C288" i="3"/>
  <c r="C288" i="7" s="1"/>
  <c r="A288" i="3"/>
  <c r="A288" i="7" s="1"/>
  <c r="O287" i="3"/>
  <c r="O287" i="7" s="1"/>
  <c r="L287" i="3"/>
  <c r="L287" i="7" s="1"/>
  <c r="K287" i="3"/>
  <c r="K287" i="7" s="1"/>
  <c r="J287" i="3"/>
  <c r="J287" i="7" s="1"/>
  <c r="I287" i="3"/>
  <c r="I287" i="7" s="1"/>
  <c r="H287" i="3"/>
  <c r="H287" i="7" s="1"/>
  <c r="G287" i="3"/>
  <c r="G287" i="7" s="1"/>
  <c r="F287" i="3"/>
  <c r="F287" i="7" s="1"/>
  <c r="E287" i="3"/>
  <c r="E287" i="7" s="1"/>
  <c r="D287" i="3"/>
  <c r="D287" i="7" s="1"/>
  <c r="C287" i="3"/>
  <c r="C287" i="7" s="1"/>
  <c r="A287" i="3"/>
  <c r="A287" i="7" s="1"/>
  <c r="O286" i="3"/>
  <c r="O286" i="7" s="1"/>
  <c r="L286" i="3"/>
  <c r="L286" i="7" s="1"/>
  <c r="K286" i="3"/>
  <c r="K286" i="7" s="1"/>
  <c r="J286" i="3"/>
  <c r="J286" i="7" s="1"/>
  <c r="I286" i="3"/>
  <c r="I286" i="7" s="1"/>
  <c r="H286" i="3"/>
  <c r="H286" i="7" s="1"/>
  <c r="G286" i="3"/>
  <c r="G286" i="7" s="1"/>
  <c r="F286" i="3"/>
  <c r="F286" i="7" s="1"/>
  <c r="E286" i="3"/>
  <c r="E286" i="7" s="1"/>
  <c r="D286" i="3"/>
  <c r="D286" i="7" s="1"/>
  <c r="C286" i="3"/>
  <c r="C286" i="7" s="1"/>
  <c r="A286" i="3"/>
  <c r="A286" i="7" s="1"/>
  <c r="O285" i="3"/>
  <c r="O285" i="7" s="1"/>
  <c r="L285" i="3"/>
  <c r="L285" i="7" s="1"/>
  <c r="K285" i="3"/>
  <c r="K285" i="7" s="1"/>
  <c r="J285" i="3"/>
  <c r="J285" i="7" s="1"/>
  <c r="I285" i="3"/>
  <c r="I285" i="7" s="1"/>
  <c r="H285" i="3"/>
  <c r="H285" i="7" s="1"/>
  <c r="G285" i="3"/>
  <c r="G285" i="7" s="1"/>
  <c r="F285" i="3"/>
  <c r="F285" i="7" s="1"/>
  <c r="E285" i="3"/>
  <c r="E285" i="7" s="1"/>
  <c r="D285" i="3"/>
  <c r="D285" i="7" s="1"/>
  <c r="C285" i="3"/>
  <c r="C285" i="7" s="1"/>
  <c r="A285" i="3"/>
  <c r="A285" i="7" s="1"/>
  <c r="O284" i="3"/>
  <c r="O284" i="7" s="1"/>
  <c r="L284" i="3"/>
  <c r="L284" i="7" s="1"/>
  <c r="K284" i="3"/>
  <c r="K284" i="7" s="1"/>
  <c r="J284" i="3"/>
  <c r="J284" i="7" s="1"/>
  <c r="I284" i="3"/>
  <c r="I284" i="7" s="1"/>
  <c r="H284" i="3"/>
  <c r="H284" i="7" s="1"/>
  <c r="G284" i="3"/>
  <c r="G284" i="7" s="1"/>
  <c r="F284" i="3"/>
  <c r="F284" i="7" s="1"/>
  <c r="E284" i="3"/>
  <c r="E284" i="7" s="1"/>
  <c r="D284" i="3"/>
  <c r="D284" i="7" s="1"/>
  <c r="C284" i="3"/>
  <c r="C284" i="7" s="1"/>
  <c r="A284" i="3"/>
  <c r="A284" i="7" s="1"/>
  <c r="O283" i="3"/>
  <c r="O283" i="7" s="1"/>
  <c r="L283" i="3"/>
  <c r="L283" i="7" s="1"/>
  <c r="K283" i="3"/>
  <c r="K283" i="7" s="1"/>
  <c r="J283" i="3"/>
  <c r="J283" i="7" s="1"/>
  <c r="I283" i="3"/>
  <c r="I283" i="7" s="1"/>
  <c r="H283" i="3"/>
  <c r="H283" i="7" s="1"/>
  <c r="G283" i="3"/>
  <c r="G283" i="7" s="1"/>
  <c r="F283" i="3"/>
  <c r="F283" i="7" s="1"/>
  <c r="E283" i="3"/>
  <c r="E283" i="7" s="1"/>
  <c r="D283" i="3"/>
  <c r="D283" i="7" s="1"/>
  <c r="C283" i="3"/>
  <c r="C283" i="7" s="1"/>
  <c r="A283" i="3"/>
  <c r="A283" i="7" s="1"/>
  <c r="O282" i="3"/>
  <c r="O282" i="7" s="1"/>
  <c r="L282" i="3"/>
  <c r="L282" i="7" s="1"/>
  <c r="K282" i="3"/>
  <c r="K282" i="7" s="1"/>
  <c r="J282" i="3"/>
  <c r="J282" i="7" s="1"/>
  <c r="I282" i="3"/>
  <c r="I282" i="7" s="1"/>
  <c r="H282" i="3"/>
  <c r="H282" i="7" s="1"/>
  <c r="G282" i="3"/>
  <c r="G282" i="7" s="1"/>
  <c r="F282" i="3"/>
  <c r="F282" i="7" s="1"/>
  <c r="E282" i="3"/>
  <c r="E282" i="7" s="1"/>
  <c r="D282" i="3"/>
  <c r="D282" i="7" s="1"/>
  <c r="C282" i="3"/>
  <c r="C282" i="7" s="1"/>
  <c r="A282" i="3"/>
  <c r="A282" i="7" s="1"/>
  <c r="O281" i="3"/>
  <c r="O281" i="7" s="1"/>
  <c r="L281" i="3"/>
  <c r="L281" i="7" s="1"/>
  <c r="K281" i="3"/>
  <c r="K281" i="7" s="1"/>
  <c r="J281" i="3"/>
  <c r="J281" i="7" s="1"/>
  <c r="I281" i="3"/>
  <c r="I281" i="7" s="1"/>
  <c r="H281" i="3"/>
  <c r="H281" i="7" s="1"/>
  <c r="G281" i="3"/>
  <c r="G281" i="7" s="1"/>
  <c r="F281" i="3"/>
  <c r="F281" i="7" s="1"/>
  <c r="E281" i="3"/>
  <c r="E281" i="7" s="1"/>
  <c r="D281" i="3"/>
  <c r="D281" i="7" s="1"/>
  <c r="C281" i="3"/>
  <c r="C281" i="7" s="1"/>
  <c r="A281" i="3"/>
  <c r="A281" i="7" s="1"/>
  <c r="O280" i="3"/>
  <c r="O280" i="7" s="1"/>
  <c r="L280" i="3"/>
  <c r="L280" i="7" s="1"/>
  <c r="K280" i="3"/>
  <c r="K280" i="7" s="1"/>
  <c r="J280" i="3"/>
  <c r="J280" i="7" s="1"/>
  <c r="I280" i="3"/>
  <c r="I280" i="7" s="1"/>
  <c r="H280" i="3"/>
  <c r="H280" i="7" s="1"/>
  <c r="G280" i="3"/>
  <c r="G280" i="7" s="1"/>
  <c r="F280" i="3"/>
  <c r="F280" i="7" s="1"/>
  <c r="E280" i="3"/>
  <c r="E280" i="7" s="1"/>
  <c r="D280" i="3"/>
  <c r="D280" i="7" s="1"/>
  <c r="C280" i="3"/>
  <c r="C280" i="7" s="1"/>
  <c r="A280" i="3"/>
  <c r="A280" i="7" s="1"/>
  <c r="O279" i="3"/>
  <c r="O279" i="7" s="1"/>
  <c r="L279" i="3"/>
  <c r="L279" i="7" s="1"/>
  <c r="K279" i="3"/>
  <c r="K279" i="7" s="1"/>
  <c r="J279" i="3"/>
  <c r="J279" i="7" s="1"/>
  <c r="I279" i="3"/>
  <c r="I279" i="7" s="1"/>
  <c r="H279" i="3"/>
  <c r="H279" i="7" s="1"/>
  <c r="G279" i="3"/>
  <c r="G279" i="7" s="1"/>
  <c r="F279" i="3"/>
  <c r="F279" i="7" s="1"/>
  <c r="E279" i="3"/>
  <c r="E279" i="7" s="1"/>
  <c r="D279" i="3"/>
  <c r="D279" i="7" s="1"/>
  <c r="C279" i="3"/>
  <c r="C279" i="7" s="1"/>
  <c r="A279" i="3"/>
  <c r="A279" i="7" s="1"/>
  <c r="O278" i="3"/>
  <c r="O278" i="7" s="1"/>
  <c r="L278" i="3"/>
  <c r="L278" i="7" s="1"/>
  <c r="K278" i="3"/>
  <c r="K278" i="7" s="1"/>
  <c r="J278" i="3"/>
  <c r="J278" i="7" s="1"/>
  <c r="I278" i="3"/>
  <c r="I278" i="7" s="1"/>
  <c r="H278" i="3"/>
  <c r="H278" i="7" s="1"/>
  <c r="G278" i="3"/>
  <c r="G278" i="7" s="1"/>
  <c r="F278" i="3"/>
  <c r="F278" i="7" s="1"/>
  <c r="E278" i="3"/>
  <c r="E278" i="7" s="1"/>
  <c r="D278" i="3"/>
  <c r="D278" i="7" s="1"/>
  <c r="C278" i="3"/>
  <c r="C278" i="7" s="1"/>
  <c r="A278" i="3"/>
  <c r="A278" i="7" s="1"/>
  <c r="O277" i="3"/>
  <c r="O277" i="7" s="1"/>
  <c r="L277" i="3"/>
  <c r="L277" i="7" s="1"/>
  <c r="K277" i="3"/>
  <c r="K277" i="7" s="1"/>
  <c r="J277" i="3"/>
  <c r="J277" i="7" s="1"/>
  <c r="I277" i="3"/>
  <c r="I277" i="7" s="1"/>
  <c r="H277" i="3"/>
  <c r="H277" i="7" s="1"/>
  <c r="G277" i="3"/>
  <c r="G277" i="7" s="1"/>
  <c r="F277" i="3"/>
  <c r="F277" i="7" s="1"/>
  <c r="E277" i="3"/>
  <c r="E277" i="7" s="1"/>
  <c r="D277" i="3"/>
  <c r="D277" i="7" s="1"/>
  <c r="C277" i="3"/>
  <c r="C277" i="7" s="1"/>
  <c r="A277" i="3"/>
  <c r="A277" i="7" s="1"/>
  <c r="O276" i="3"/>
  <c r="O276" i="7" s="1"/>
  <c r="L276" i="3"/>
  <c r="L276" i="7" s="1"/>
  <c r="K276" i="3"/>
  <c r="K276" i="7" s="1"/>
  <c r="J276" i="3"/>
  <c r="J276" i="7" s="1"/>
  <c r="I276" i="3"/>
  <c r="I276" i="7" s="1"/>
  <c r="H276" i="3"/>
  <c r="H276" i="7" s="1"/>
  <c r="G276" i="3"/>
  <c r="G276" i="7" s="1"/>
  <c r="F276" i="3"/>
  <c r="F276" i="7" s="1"/>
  <c r="E276" i="3"/>
  <c r="E276" i="7" s="1"/>
  <c r="D276" i="3"/>
  <c r="D276" i="7" s="1"/>
  <c r="C276" i="3"/>
  <c r="C276" i="7" s="1"/>
  <c r="A276" i="3"/>
  <c r="A276" i="7" s="1"/>
  <c r="O275" i="3"/>
  <c r="O275" i="7" s="1"/>
  <c r="L275" i="3"/>
  <c r="L275" i="7" s="1"/>
  <c r="K275" i="3"/>
  <c r="K275" i="7" s="1"/>
  <c r="J275" i="3"/>
  <c r="J275" i="7" s="1"/>
  <c r="I275" i="3"/>
  <c r="I275" i="7" s="1"/>
  <c r="H275" i="3"/>
  <c r="H275" i="7" s="1"/>
  <c r="G275" i="3"/>
  <c r="G275" i="7" s="1"/>
  <c r="F275" i="3"/>
  <c r="F275" i="7" s="1"/>
  <c r="E275" i="3"/>
  <c r="E275" i="7" s="1"/>
  <c r="D275" i="3"/>
  <c r="D275" i="7" s="1"/>
  <c r="C275" i="3"/>
  <c r="C275" i="7" s="1"/>
  <c r="A275" i="3"/>
  <c r="A275" i="7" s="1"/>
  <c r="O274" i="3"/>
  <c r="O274" i="7" s="1"/>
  <c r="L274" i="3"/>
  <c r="L274" i="7" s="1"/>
  <c r="K274" i="3"/>
  <c r="K274" i="7" s="1"/>
  <c r="J274" i="3"/>
  <c r="J274" i="7" s="1"/>
  <c r="I274" i="3"/>
  <c r="I274" i="7" s="1"/>
  <c r="H274" i="3"/>
  <c r="H274" i="7" s="1"/>
  <c r="G274" i="3"/>
  <c r="G274" i="7" s="1"/>
  <c r="F274" i="3"/>
  <c r="F274" i="7" s="1"/>
  <c r="E274" i="3"/>
  <c r="E274" i="7" s="1"/>
  <c r="D274" i="3"/>
  <c r="D274" i="7" s="1"/>
  <c r="C274" i="3"/>
  <c r="C274" i="7" s="1"/>
  <c r="A274" i="3"/>
  <c r="A274" i="7" s="1"/>
  <c r="O273" i="3"/>
  <c r="O273" i="7" s="1"/>
  <c r="L273" i="3"/>
  <c r="L273" i="7" s="1"/>
  <c r="K273" i="3"/>
  <c r="K273" i="7" s="1"/>
  <c r="J273" i="3"/>
  <c r="J273" i="7" s="1"/>
  <c r="I273" i="3"/>
  <c r="I273" i="7" s="1"/>
  <c r="H273" i="3"/>
  <c r="H273" i="7" s="1"/>
  <c r="G273" i="3"/>
  <c r="G273" i="7" s="1"/>
  <c r="F273" i="3"/>
  <c r="F273" i="7" s="1"/>
  <c r="E273" i="3"/>
  <c r="E273" i="7" s="1"/>
  <c r="D273" i="3"/>
  <c r="D273" i="7" s="1"/>
  <c r="C273" i="3"/>
  <c r="C273" i="7" s="1"/>
  <c r="A273" i="3"/>
  <c r="A273" i="7" s="1"/>
  <c r="O272" i="3"/>
  <c r="O272" i="7" s="1"/>
  <c r="L272" i="3"/>
  <c r="L272" i="7" s="1"/>
  <c r="K272" i="3"/>
  <c r="K272" i="7" s="1"/>
  <c r="J272" i="3"/>
  <c r="J272" i="7" s="1"/>
  <c r="I272" i="3"/>
  <c r="I272" i="7" s="1"/>
  <c r="H272" i="3"/>
  <c r="H272" i="7" s="1"/>
  <c r="G272" i="3"/>
  <c r="G272" i="7" s="1"/>
  <c r="F272" i="3"/>
  <c r="F272" i="7" s="1"/>
  <c r="E272" i="3"/>
  <c r="E272" i="7" s="1"/>
  <c r="D272" i="3"/>
  <c r="D272" i="7" s="1"/>
  <c r="C272" i="3"/>
  <c r="C272" i="7" s="1"/>
  <c r="A272" i="3"/>
  <c r="A272" i="7" s="1"/>
  <c r="O271" i="3"/>
  <c r="O271" i="7" s="1"/>
  <c r="L271" i="3"/>
  <c r="L271" i="7" s="1"/>
  <c r="K271" i="3"/>
  <c r="K271" i="7" s="1"/>
  <c r="J271" i="3"/>
  <c r="J271" i="7" s="1"/>
  <c r="I271" i="3"/>
  <c r="I271" i="7" s="1"/>
  <c r="H271" i="3"/>
  <c r="H271" i="7" s="1"/>
  <c r="G271" i="3"/>
  <c r="G271" i="7" s="1"/>
  <c r="F271" i="3"/>
  <c r="F271" i="7" s="1"/>
  <c r="E271" i="3"/>
  <c r="E271" i="7" s="1"/>
  <c r="D271" i="3"/>
  <c r="D271" i="7" s="1"/>
  <c r="C271" i="3"/>
  <c r="C271" i="7" s="1"/>
  <c r="A271" i="3"/>
  <c r="A271" i="7" s="1"/>
  <c r="O270" i="3"/>
  <c r="O270" i="7" s="1"/>
  <c r="L270" i="3"/>
  <c r="L270" i="7" s="1"/>
  <c r="K270" i="3"/>
  <c r="K270" i="7" s="1"/>
  <c r="J270" i="3"/>
  <c r="J270" i="7" s="1"/>
  <c r="I270" i="3"/>
  <c r="I270" i="7" s="1"/>
  <c r="H270" i="3"/>
  <c r="H270" i="7" s="1"/>
  <c r="G270" i="3"/>
  <c r="G270" i="7" s="1"/>
  <c r="F270" i="3"/>
  <c r="F270" i="7" s="1"/>
  <c r="E270" i="3"/>
  <c r="E270" i="7" s="1"/>
  <c r="D270" i="3"/>
  <c r="D270" i="7" s="1"/>
  <c r="C270" i="3"/>
  <c r="C270" i="7" s="1"/>
  <c r="A270" i="3"/>
  <c r="A270" i="7" s="1"/>
  <c r="O269" i="3"/>
  <c r="O269" i="7" s="1"/>
  <c r="L269" i="3"/>
  <c r="L269" i="7" s="1"/>
  <c r="K269" i="3"/>
  <c r="K269" i="7" s="1"/>
  <c r="J269" i="3"/>
  <c r="J269" i="7" s="1"/>
  <c r="I269" i="3"/>
  <c r="I269" i="7" s="1"/>
  <c r="H269" i="3"/>
  <c r="H269" i="7" s="1"/>
  <c r="G269" i="3"/>
  <c r="G269" i="7" s="1"/>
  <c r="F269" i="3"/>
  <c r="F269" i="7" s="1"/>
  <c r="E269" i="3"/>
  <c r="E269" i="7" s="1"/>
  <c r="D269" i="3"/>
  <c r="D269" i="7" s="1"/>
  <c r="C269" i="3"/>
  <c r="C269" i="7" s="1"/>
  <c r="A269" i="3"/>
  <c r="A269" i="7" s="1"/>
  <c r="L268" i="3"/>
  <c r="L268" i="7" s="1"/>
  <c r="K268" i="3"/>
  <c r="K268" i="7" s="1"/>
  <c r="J268" i="3"/>
  <c r="J268" i="7" s="1"/>
  <c r="I268" i="3"/>
  <c r="I268" i="7" s="1"/>
  <c r="H268" i="3"/>
  <c r="H268" i="7" s="1"/>
  <c r="G268" i="3"/>
  <c r="G268" i="7" s="1"/>
  <c r="F268" i="3"/>
  <c r="F268" i="7" s="1"/>
  <c r="E268" i="3"/>
  <c r="E268" i="7" s="1"/>
  <c r="D268" i="3"/>
  <c r="C268" i="3"/>
  <c r="C268" i="7" s="1"/>
  <c r="A268" i="3"/>
  <c r="A268" i="7" s="1"/>
  <c r="L267" i="3"/>
  <c r="L267" i="7" s="1"/>
  <c r="K267" i="3"/>
  <c r="K267" i="7" s="1"/>
  <c r="J267" i="3"/>
  <c r="J267" i="7" s="1"/>
  <c r="I267" i="3"/>
  <c r="I267" i="7" s="1"/>
  <c r="H267" i="3"/>
  <c r="H267" i="7" s="1"/>
  <c r="G267" i="3"/>
  <c r="G267" i="7" s="1"/>
  <c r="F267" i="3"/>
  <c r="F267" i="7" s="1"/>
  <c r="E267" i="3"/>
  <c r="E267" i="7" s="1"/>
  <c r="D267" i="3"/>
  <c r="O267" i="3" s="1"/>
  <c r="O267" i="7" s="1"/>
  <c r="C267" i="3"/>
  <c r="C267" i="7" s="1"/>
  <c r="A267" i="3"/>
  <c r="A267" i="7" s="1"/>
  <c r="O266" i="3"/>
  <c r="O266" i="7" s="1"/>
  <c r="L266" i="3"/>
  <c r="L266" i="7" s="1"/>
  <c r="K266" i="3"/>
  <c r="K266" i="7" s="1"/>
  <c r="J266" i="3"/>
  <c r="J266" i="7" s="1"/>
  <c r="I266" i="3"/>
  <c r="I266" i="7" s="1"/>
  <c r="H266" i="3"/>
  <c r="H266" i="7" s="1"/>
  <c r="G266" i="3"/>
  <c r="G266" i="7" s="1"/>
  <c r="F266" i="3"/>
  <c r="F266" i="7" s="1"/>
  <c r="E266" i="3"/>
  <c r="E266" i="7" s="1"/>
  <c r="D266" i="3"/>
  <c r="C266" i="3"/>
  <c r="C266" i="7" s="1"/>
  <c r="A266" i="3"/>
  <c r="A266" i="7" s="1"/>
  <c r="N265" i="3"/>
  <c r="N265" i="7" s="1"/>
  <c r="L265" i="3"/>
  <c r="L265" i="7" s="1"/>
  <c r="K265" i="3"/>
  <c r="K265" i="7" s="1"/>
  <c r="J265" i="3"/>
  <c r="J265" i="7" s="1"/>
  <c r="I265" i="3"/>
  <c r="I265" i="7" s="1"/>
  <c r="H265" i="3"/>
  <c r="H265" i="7" s="1"/>
  <c r="G265" i="3"/>
  <c r="G265" i="7" s="1"/>
  <c r="F265" i="3"/>
  <c r="F265" i="7" s="1"/>
  <c r="E265" i="3"/>
  <c r="E265" i="7" s="1"/>
  <c r="D265" i="3"/>
  <c r="D265" i="7" s="1"/>
  <c r="C265" i="3"/>
  <c r="C265" i="7" s="1"/>
  <c r="A265" i="3"/>
  <c r="A265" i="7" s="1"/>
  <c r="N264" i="3"/>
  <c r="N264" i="7" s="1"/>
  <c r="L264" i="3"/>
  <c r="L264" i="7" s="1"/>
  <c r="K264" i="3"/>
  <c r="K264" i="7" s="1"/>
  <c r="J264" i="3"/>
  <c r="J264" i="7" s="1"/>
  <c r="I264" i="3"/>
  <c r="I264" i="7" s="1"/>
  <c r="H264" i="3"/>
  <c r="H264" i="7" s="1"/>
  <c r="G264" i="3"/>
  <c r="G264" i="7" s="1"/>
  <c r="F264" i="3"/>
  <c r="F264" i="7" s="1"/>
  <c r="E264" i="3"/>
  <c r="E264" i="7" s="1"/>
  <c r="D264" i="3"/>
  <c r="D264" i="7" s="1"/>
  <c r="C264" i="3"/>
  <c r="C264" i="7" s="1"/>
  <c r="A264" i="3"/>
  <c r="A264" i="7" s="1"/>
  <c r="N263" i="3"/>
  <c r="N263" i="7" s="1"/>
  <c r="L263" i="3"/>
  <c r="L263" i="7" s="1"/>
  <c r="K263" i="3"/>
  <c r="K263" i="7" s="1"/>
  <c r="J263" i="3"/>
  <c r="J263" i="7" s="1"/>
  <c r="I263" i="3"/>
  <c r="I263" i="7" s="1"/>
  <c r="H263" i="3"/>
  <c r="H263" i="7" s="1"/>
  <c r="G263" i="3"/>
  <c r="G263" i="7" s="1"/>
  <c r="F263" i="3"/>
  <c r="F263" i="7" s="1"/>
  <c r="E263" i="3"/>
  <c r="E263" i="7" s="1"/>
  <c r="D263" i="3"/>
  <c r="D263" i="7" s="1"/>
  <c r="C263" i="3"/>
  <c r="C263" i="7" s="1"/>
  <c r="A263" i="3"/>
  <c r="A263" i="7" s="1"/>
  <c r="O262" i="3"/>
  <c r="O262" i="7" s="1"/>
  <c r="N262" i="3"/>
  <c r="N262" i="7" s="1"/>
  <c r="L262" i="3"/>
  <c r="L262" i="7" s="1"/>
  <c r="K262" i="3"/>
  <c r="K262" i="7" s="1"/>
  <c r="J262" i="3"/>
  <c r="J262" i="7" s="1"/>
  <c r="I262" i="3"/>
  <c r="I262" i="7" s="1"/>
  <c r="H262" i="3"/>
  <c r="H262" i="7" s="1"/>
  <c r="G262" i="3"/>
  <c r="G262" i="7" s="1"/>
  <c r="F262" i="3"/>
  <c r="F262" i="7" s="1"/>
  <c r="E262" i="3"/>
  <c r="E262" i="7" s="1"/>
  <c r="D262" i="3"/>
  <c r="D262" i="7" s="1"/>
  <c r="C262" i="3"/>
  <c r="C262" i="7" s="1"/>
  <c r="A262" i="3"/>
  <c r="A262" i="7" s="1"/>
  <c r="O261" i="3"/>
  <c r="O261" i="7" s="1"/>
  <c r="N261" i="3"/>
  <c r="N261" i="7" s="1"/>
  <c r="L261" i="3"/>
  <c r="L261" i="7" s="1"/>
  <c r="K261" i="3"/>
  <c r="K261" i="7" s="1"/>
  <c r="J261" i="3"/>
  <c r="J261" i="7" s="1"/>
  <c r="I261" i="3"/>
  <c r="I261" i="7" s="1"/>
  <c r="H261" i="3"/>
  <c r="H261" i="7" s="1"/>
  <c r="G261" i="3"/>
  <c r="G261" i="7" s="1"/>
  <c r="F261" i="3"/>
  <c r="F261" i="7" s="1"/>
  <c r="E261" i="3"/>
  <c r="E261" i="7" s="1"/>
  <c r="D261" i="3"/>
  <c r="D261" i="7" s="1"/>
  <c r="C261" i="3"/>
  <c r="C261" i="7" s="1"/>
  <c r="A261" i="3"/>
  <c r="A261" i="7" s="1"/>
  <c r="O260" i="3"/>
  <c r="O260" i="7" s="1"/>
  <c r="N260" i="3"/>
  <c r="N260" i="7" s="1"/>
  <c r="L260" i="3"/>
  <c r="L260" i="7" s="1"/>
  <c r="K260" i="3"/>
  <c r="K260" i="7" s="1"/>
  <c r="J260" i="3"/>
  <c r="J260" i="7" s="1"/>
  <c r="I260" i="3"/>
  <c r="I260" i="7" s="1"/>
  <c r="H260" i="3"/>
  <c r="H260" i="7" s="1"/>
  <c r="G260" i="3"/>
  <c r="G260" i="7" s="1"/>
  <c r="F260" i="3"/>
  <c r="F260" i="7" s="1"/>
  <c r="E260" i="3"/>
  <c r="E260" i="7" s="1"/>
  <c r="D260" i="3"/>
  <c r="D260" i="7" s="1"/>
  <c r="C260" i="3"/>
  <c r="C260" i="7" s="1"/>
  <c r="A260" i="3"/>
  <c r="A260" i="7" s="1"/>
  <c r="O259" i="3"/>
  <c r="O259" i="7" s="1"/>
  <c r="N259" i="3"/>
  <c r="N259" i="7" s="1"/>
  <c r="L259" i="3"/>
  <c r="L259" i="7" s="1"/>
  <c r="K259" i="3"/>
  <c r="K259" i="7" s="1"/>
  <c r="J259" i="3"/>
  <c r="J259" i="7" s="1"/>
  <c r="I259" i="3"/>
  <c r="I259" i="7" s="1"/>
  <c r="H259" i="3"/>
  <c r="H259" i="7" s="1"/>
  <c r="G259" i="3"/>
  <c r="G259" i="7" s="1"/>
  <c r="F259" i="3"/>
  <c r="F259" i="7" s="1"/>
  <c r="E259" i="3"/>
  <c r="E259" i="7" s="1"/>
  <c r="D259" i="3"/>
  <c r="D259" i="7" s="1"/>
  <c r="C259" i="3"/>
  <c r="C259" i="7" s="1"/>
  <c r="A259" i="3"/>
  <c r="A259" i="7" s="1"/>
  <c r="O258" i="3"/>
  <c r="O258" i="7" s="1"/>
  <c r="N258" i="3"/>
  <c r="N258" i="7" s="1"/>
  <c r="L258" i="3"/>
  <c r="L258" i="7" s="1"/>
  <c r="K258" i="3"/>
  <c r="K258" i="7" s="1"/>
  <c r="J258" i="3"/>
  <c r="J258" i="7" s="1"/>
  <c r="I258" i="3"/>
  <c r="I258" i="7" s="1"/>
  <c r="H258" i="3"/>
  <c r="H258" i="7" s="1"/>
  <c r="G258" i="3"/>
  <c r="G258" i="7" s="1"/>
  <c r="F258" i="3"/>
  <c r="F258" i="7" s="1"/>
  <c r="E258" i="3"/>
  <c r="E258" i="7" s="1"/>
  <c r="D258" i="3"/>
  <c r="D258" i="7" s="1"/>
  <c r="C258" i="3"/>
  <c r="C258" i="7" s="1"/>
  <c r="A258" i="3"/>
  <c r="A258" i="7" s="1"/>
  <c r="O257" i="3"/>
  <c r="O257" i="7" s="1"/>
  <c r="N257" i="3"/>
  <c r="N257" i="7" s="1"/>
  <c r="L257" i="3"/>
  <c r="L257" i="7" s="1"/>
  <c r="K257" i="3"/>
  <c r="K257" i="7" s="1"/>
  <c r="J257" i="3"/>
  <c r="J257" i="7" s="1"/>
  <c r="I257" i="3"/>
  <c r="I257" i="7" s="1"/>
  <c r="H257" i="3"/>
  <c r="H257" i="7" s="1"/>
  <c r="G257" i="3"/>
  <c r="G257" i="7" s="1"/>
  <c r="F257" i="3"/>
  <c r="F257" i="7" s="1"/>
  <c r="E257" i="3"/>
  <c r="E257" i="7" s="1"/>
  <c r="D257" i="3"/>
  <c r="D257" i="7" s="1"/>
  <c r="C257" i="3"/>
  <c r="C257" i="7" s="1"/>
  <c r="A257" i="3"/>
  <c r="A257" i="7" s="1"/>
  <c r="O256" i="3"/>
  <c r="O256" i="7" s="1"/>
  <c r="N256" i="3"/>
  <c r="N256" i="7" s="1"/>
  <c r="L256" i="3"/>
  <c r="L256" i="7" s="1"/>
  <c r="K256" i="3"/>
  <c r="K256" i="7" s="1"/>
  <c r="J256" i="3"/>
  <c r="J256" i="7" s="1"/>
  <c r="I256" i="3"/>
  <c r="I256" i="7" s="1"/>
  <c r="H256" i="3"/>
  <c r="H256" i="7" s="1"/>
  <c r="G256" i="3"/>
  <c r="G256" i="7" s="1"/>
  <c r="F256" i="3"/>
  <c r="F256" i="7" s="1"/>
  <c r="E256" i="3"/>
  <c r="E256" i="7" s="1"/>
  <c r="D256" i="3"/>
  <c r="D256" i="7" s="1"/>
  <c r="C256" i="3"/>
  <c r="C256" i="7" s="1"/>
  <c r="A256" i="3"/>
  <c r="A256" i="7" s="1"/>
  <c r="O255" i="3"/>
  <c r="O255" i="7" s="1"/>
  <c r="N255" i="3"/>
  <c r="N255" i="7" s="1"/>
  <c r="L255" i="3"/>
  <c r="L255" i="7" s="1"/>
  <c r="K255" i="3"/>
  <c r="K255" i="7" s="1"/>
  <c r="J255" i="3"/>
  <c r="J255" i="7" s="1"/>
  <c r="I255" i="3"/>
  <c r="I255" i="7" s="1"/>
  <c r="H255" i="3"/>
  <c r="H255" i="7" s="1"/>
  <c r="G255" i="3"/>
  <c r="G255" i="7" s="1"/>
  <c r="F255" i="3"/>
  <c r="F255" i="7" s="1"/>
  <c r="E255" i="3"/>
  <c r="E255" i="7" s="1"/>
  <c r="D255" i="3"/>
  <c r="D255" i="7" s="1"/>
  <c r="C255" i="3"/>
  <c r="C255" i="7" s="1"/>
  <c r="A255" i="3"/>
  <c r="A255" i="7" s="1"/>
  <c r="O254" i="3"/>
  <c r="O254" i="7" s="1"/>
  <c r="N254" i="3"/>
  <c r="N254" i="7" s="1"/>
  <c r="L254" i="3"/>
  <c r="L254" i="7" s="1"/>
  <c r="K254" i="3"/>
  <c r="K254" i="7" s="1"/>
  <c r="J254" i="3"/>
  <c r="J254" i="7" s="1"/>
  <c r="I254" i="3"/>
  <c r="I254" i="7" s="1"/>
  <c r="H254" i="3"/>
  <c r="H254" i="7" s="1"/>
  <c r="G254" i="3"/>
  <c r="G254" i="7" s="1"/>
  <c r="F254" i="3"/>
  <c r="F254" i="7" s="1"/>
  <c r="E254" i="3"/>
  <c r="E254" i="7" s="1"/>
  <c r="D254" i="3"/>
  <c r="D254" i="7" s="1"/>
  <c r="C254" i="3"/>
  <c r="C254" i="7" s="1"/>
  <c r="A254" i="3"/>
  <c r="A254" i="7" s="1"/>
  <c r="O253" i="3"/>
  <c r="O253" i="7" s="1"/>
  <c r="N253" i="3"/>
  <c r="N253" i="7" s="1"/>
  <c r="L253" i="3"/>
  <c r="L253" i="7" s="1"/>
  <c r="K253" i="3"/>
  <c r="K253" i="7" s="1"/>
  <c r="J253" i="3"/>
  <c r="J253" i="7" s="1"/>
  <c r="I253" i="3"/>
  <c r="I253" i="7" s="1"/>
  <c r="H253" i="3"/>
  <c r="H253" i="7" s="1"/>
  <c r="G253" i="3"/>
  <c r="G253" i="7" s="1"/>
  <c r="F253" i="3"/>
  <c r="F253" i="7" s="1"/>
  <c r="E253" i="3"/>
  <c r="E253" i="7" s="1"/>
  <c r="D253" i="3"/>
  <c r="D253" i="7" s="1"/>
  <c r="C253" i="3"/>
  <c r="C253" i="7" s="1"/>
  <c r="A253" i="3"/>
  <c r="A253" i="7" s="1"/>
  <c r="O252" i="3"/>
  <c r="O252" i="7" s="1"/>
  <c r="N252" i="3"/>
  <c r="N252" i="7" s="1"/>
  <c r="L252" i="3"/>
  <c r="L252" i="7" s="1"/>
  <c r="K252" i="3"/>
  <c r="K252" i="7" s="1"/>
  <c r="J252" i="3"/>
  <c r="J252" i="7" s="1"/>
  <c r="I252" i="3"/>
  <c r="I252" i="7" s="1"/>
  <c r="H252" i="3"/>
  <c r="H252" i="7" s="1"/>
  <c r="G252" i="3"/>
  <c r="G252" i="7" s="1"/>
  <c r="F252" i="3"/>
  <c r="F252" i="7" s="1"/>
  <c r="E252" i="3"/>
  <c r="E252" i="7" s="1"/>
  <c r="D252" i="3"/>
  <c r="D252" i="7" s="1"/>
  <c r="C252" i="3"/>
  <c r="C252" i="7" s="1"/>
  <c r="A252" i="3"/>
  <c r="A252" i="7" s="1"/>
  <c r="O251" i="3"/>
  <c r="O251" i="7" s="1"/>
  <c r="N251" i="3"/>
  <c r="N251" i="7" s="1"/>
  <c r="L251" i="3"/>
  <c r="L251" i="7" s="1"/>
  <c r="K251" i="3"/>
  <c r="K251" i="7" s="1"/>
  <c r="J251" i="3"/>
  <c r="J251" i="7" s="1"/>
  <c r="I251" i="3"/>
  <c r="I251" i="7" s="1"/>
  <c r="H251" i="3"/>
  <c r="H251" i="7" s="1"/>
  <c r="G251" i="3"/>
  <c r="G251" i="7" s="1"/>
  <c r="F251" i="3"/>
  <c r="F251" i="7" s="1"/>
  <c r="E251" i="3"/>
  <c r="E251" i="7" s="1"/>
  <c r="D251" i="3"/>
  <c r="D251" i="7" s="1"/>
  <c r="C251" i="3"/>
  <c r="C251" i="7" s="1"/>
  <c r="A251" i="3"/>
  <c r="A251" i="7" s="1"/>
  <c r="O250" i="3"/>
  <c r="O250" i="7" s="1"/>
  <c r="N250" i="3"/>
  <c r="N250" i="7" s="1"/>
  <c r="L250" i="3"/>
  <c r="L250" i="7" s="1"/>
  <c r="K250" i="3"/>
  <c r="K250" i="7" s="1"/>
  <c r="J250" i="3"/>
  <c r="J250" i="7" s="1"/>
  <c r="I250" i="3"/>
  <c r="I250" i="7" s="1"/>
  <c r="H250" i="3"/>
  <c r="H250" i="7" s="1"/>
  <c r="G250" i="3"/>
  <c r="G250" i="7" s="1"/>
  <c r="F250" i="3"/>
  <c r="F250" i="7" s="1"/>
  <c r="E250" i="3"/>
  <c r="E250" i="7" s="1"/>
  <c r="D250" i="3"/>
  <c r="D250" i="7" s="1"/>
  <c r="C250" i="3"/>
  <c r="C250" i="7" s="1"/>
  <c r="A250" i="3"/>
  <c r="A250" i="7" s="1"/>
  <c r="O249" i="3"/>
  <c r="O249" i="7" s="1"/>
  <c r="N249" i="3"/>
  <c r="N249" i="7" s="1"/>
  <c r="L249" i="3"/>
  <c r="L249" i="7" s="1"/>
  <c r="K249" i="3"/>
  <c r="K249" i="7" s="1"/>
  <c r="J249" i="3"/>
  <c r="J249" i="7" s="1"/>
  <c r="I249" i="3"/>
  <c r="I249" i="7" s="1"/>
  <c r="H249" i="3"/>
  <c r="H249" i="7" s="1"/>
  <c r="G249" i="3"/>
  <c r="G249" i="7" s="1"/>
  <c r="F249" i="3"/>
  <c r="F249" i="7" s="1"/>
  <c r="E249" i="3"/>
  <c r="E249" i="7" s="1"/>
  <c r="D249" i="3"/>
  <c r="D249" i="7" s="1"/>
  <c r="C249" i="3"/>
  <c r="C249" i="7" s="1"/>
  <c r="A249" i="3"/>
  <c r="A249" i="7" s="1"/>
  <c r="O248" i="3"/>
  <c r="O248" i="7" s="1"/>
  <c r="N248" i="3"/>
  <c r="N248" i="7" s="1"/>
  <c r="L248" i="3"/>
  <c r="L248" i="7" s="1"/>
  <c r="K248" i="3"/>
  <c r="K248" i="7" s="1"/>
  <c r="J248" i="3"/>
  <c r="J248" i="7" s="1"/>
  <c r="I248" i="3"/>
  <c r="I248" i="7" s="1"/>
  <c r="H248" i="3"/>
  <c r="H248" i="7" s="1"/>
  <c r="G248" i="3"/>
  <c r="G248" i="7" s="1"/>
  <c r="F248" i="3"/>
  <c r="F248" i="7" s="1"/>
  <c r="E248" i="3"/>
  <c r="E248" i="7" s="1"/>
  <c r="D248" i="3"/>
  <c r="D248" i="7" s="1"/>
  <c r="C248" i="3"/>
  <c r="C248" i="7" s="1"/>
  <c r="A248" i="3"/>
  <c r="A248" i="7" s="1"/>
  <c r="O247" i="3"/>
  <c r="O247" i="7" s="1"/>
  <c r="N247" i="3"/>
  <c r="N247" i="7" s="1"/>
  <c r="L247" i="3"/>
  <c r="L247" i="7" s="1"/>
  <c r="K247" i="3"/>
  <c r="K247" i="7" s="1"/>
  <c r="J247" i="3"/>
  <c r="J247" i="7" s="1"/>
  <c r="I247" i="3"/>
  <c r="I247" i="7" s="1"/>
  <c r="H247" i="3"/>
  <c r="H247" i="7" s="1"/>
  <c r="G247" i="3"/>
  <c r="G247" i="7" s="1"/>
  <c r="F247" i="3"/>
  <c r="F247" i="7" s="1"/>
  <c r="E247" i="3"/>
  <c r="E247" i="7" s="1"/>
  <c r="D247" i="3"/>
  <c r="D247" i="7" s="1"/>
  <c r="C247" i="3"/>
  <c r="C247" i="7" s="1"/>
  <c r="A247" i="3"/>
  <c r="A247" i="7" s="1"/>
  <c r="O246" i="3"/>
  <c r="O246" i="7" s="1"/>
  <c r="N246" i="3"/>
  <c r="N246" i="7" s="1"/>
  <c r="L246" i="3"/>
  <c r="L246" i="7" s="1"/>
  <c r="K246" i="3"/>
  <c r="K246" i="7" s="1"/>
  <c r="J246" i="3"/>
  <c r="J246" i="7" s="1"/>
  <c r="I246" i="3"/>
  <c r="I246" i="7" s="1"/>
  <c r="H246" i="3"/>
  <c r="H246" i="7" s="1"/>
  <c r="G246" i="3"/>
  <c r="G246" i="7" s="1"/>
  <c r="F246" i="3"/>
  <c r="F246" i="7" s="1"/>
  <c r="E246" i="3"/>
  <c r="E246" i="7" s="1"/>
  <c r="D246" i="3"/>
  <c r="D246" i="7" s="1"/>
  <c r="C246" i="3"/>
  <c r="C246" i="7" s="1"/>
  <c r="A246" i="3"/>
  <c r="A246" i="7" s="1"/>
  <c r="O245" i="3"/>
  <c r="O245" i="7" s="1"/>
  <c r="N245" i="3"/>
  <c r="N245" i="7" s="1"/>
  <c r="L245" i="3"/>
  <c r="L245" i="7" s="1"/>
  <c r="K245" i="3"/>
  <c r="K245" i="7" s="1"/>
  <c r="J245" i="3"/>
  <c r="J245" i="7" s="1"/>
  <c r="I245" i="3"/>
  <c r="I245" i="7" s="1"/>
  <c r="H245" i="3"/>
  <c r="H245" i="7" s="1"/>
  <c r="G245" i="3"/>
  <c r="G245" i="7" s="1"/>
  <c r="F245" i="3"/>
  <c r="F245" i="7" s="1"/>
  <c r="E245" i="3"/>
  <c r="E245" i="7" s="1"/>
  <c r="D245" i="3"/>
  <c r="D245" i="7" s="1"/>
  <c r="C245" i="3"/>
  <c r="C245" i="7" s="1"/>
  <c r="A245" i="3"/>
  <c r="A245" i="7" s="1"/>
  <c r="O244" i="3"/>
  <c r="O244" i="7" s="1"/>
  <c r="N244" i="3"/>
  <c r="N244" i="7" s="1"/>
  <c r="L244" i="3"/>
  <c r="L244" i="7" s="1"/>
  <c r="K244" i="3"/>
  <c r="K244" i="7" s="1"/>
  <c r="J244" i="3"/>
  <c r="J244" i="7" s="1"/>
  <c r="I244" i="3"/>
  <c r="I244" i="7" s="1"/>
  <c r="H244" i="3"/>
  <c r="H244" i="7" s="1"/>
  <c r="G244" i="3"/>
  <c r="G244" i="7" s="1"/>
  <c r="F244" i="3"/>
  <c r="F244" i="7" s="1"/>
  <c r="E244" i="3"/>
  <c r="E244" i="7" s="1"/>
  <c r="D244" i="3"/>
  <c r="D244" i="7" s="1"/>
  <c r="C244" i="3"/>
  <c r="C244" i="7" s="1"/>
  <c r="A244" i="3"/>
  <c r="A244" i="7" s="1"/>
  <c r="O243" i="3"/>
  <c r="O243" i="7" s="1"/>
  <c r="N243" i="3"/>
  <c r="N243" i="7" s="1"/>
  <c r="L243" i="3"/>
  <c r="L243" i="7" s="1"/>
  <c r="K243" i="3"/>
  <c r="K243" i="7" s="1"/>
  <c r="J243" i="3"/>
  <c r="J243" i="7" s="1"/>
  <c r="I243" i="3"/>
  <c r="I243" i="7" s="1"/>
  <c r="H243" i="3"/>
  <c r="H243" i="7" s="1"/>
  <c r="G243" i="3"/>
  <c r="G243" i="7" s="1"/>
  <c r="F243" i="3"/>
  <c r="F243" i="7" s="1"/>
  <c r="E243" i="3"/>
  <c r="E243" i="7" s="1"/>
  <c r="D243" i="3"/>
  <c r="D243" i="7" s="1"/>
  <c r="C243" i="3"/>
  <c r="C243" i="7" s="1"/>
  <c r="A243" i="3"/>
  <c r="A243" i="7" s="1"/>
  <c r="O242" i="3"/>
  <c r="O242" i="7" s="1"/>
  <c r="N242" i="3"/>
  <c r="N242" i="7" s="1"/>
  <c r="L242" i="3"/>
  <c r="L242" i="7" s="1"/>
  <c r="K242" i="3"/>
  <c r="K242" i="7" s="1"/>
  <c r="J242" i="3"/>
  <c r="J242" i="7" s="1"/>
  <c r="I242" i="3"/>
  <c r="I242" i="7" s="1"/>
  <c r="H242" i="3"/>
  <c r="H242" i="7" s="1"/>
  <c r="G242" i="3"/>
  <c r="G242" i="7" s="1"/>
  <c r="F242" i="3"/>
  <c r="F242" i="7" s="1"/>
  <c r="E242" i="3"/>
  <c r="E242" i="7" s="1"/>
  <c r="D242" i="3"/>
  <c r="D242" i="7" s="1"/>
  <c r="C242" i="3"/>
  <c r="C242" i="7" s="1"/>
  <c r="A242" i="3"/>
  <c r="A242" i="7" s="1"/>
  <c r="O241" i="3"/>
  <c r="O241" i="7" s="1"/>
  <c r="N241" i="3"/>
  <c r="N241" i="7" s="1"/>
  <c r="L241" i="3"/>
  <c r="L241" i="7" s="1"/>
  <c r="K241" i="3"/>
  <c r="K241" i="7" s="1"/>
  <c r="J241" i="3"/>
  <c r="J241" i="7" s="1"/>
  <c r="I241" i="3"/>
  <c r="I241" i="7" s="1"/>
  <c r="H241" i="3"/>
  <c r="H241" i="7" s="1"/>
  <c r="G241" i="3"/>
  <c r="G241" i="7" s="1"/>
  <c r="F241" i="3"/>
  <c r="F241" i="7" s="1"/>
  <c r="E241" i="3"/>
  <c r="E241" i="7" s="1"/>
  <c r="D241" i="3"/>
  <c r="D241" i="7" s="1"/>
  <c r="C241" i="3"/>
  <c r="C241" i="7" s="1"/>
  <c r="A241" i="3"/>
  <c r="A241" i="7" s="1"/>
  <c r="O240" i="3"/>
  <c r="O240" i="7" s="1"/>
  <c r="N240" i="3"/>
  <c r="N240" i="7" s="1"/>
  <c r="L240" i="3"/>
  <c r="L240" i="7" s="1"/>
  <c r="K240" i="3"/>
  <c r="K240" i="7" s="1"/>
  <c r="J240" i="3"/>
  <c r="J240" i="7" s="1"/>
  <c r="I240" i="3"/>
  <c r="I240" i="7" s="1"/>
  <c r="H240" i="3"/>
  <c r="H240" i="7" s="1"/>
  <c r="G240" i="3"/>
  <c r="G240" i="7" s="1"/>
  <c r="F240" i="3"/>
  <c r="F240" i="7" s="1"/>
  <c r="E240" i="3"/>
  <c r="E240" i="7" s="1"/>
  <c r="D240" i="3"/>
  <c r="D240" i="7" s="1"/>
  <c r="C240" i="3"/>
  <c r="C240" i="7" s="1"/>
  <c r="A240" i="3"/>
  <c r="A240" i="7" s="1"/>
  <c r="O239" i="3"/>
  <c r="O239" i="7" s="1"/>
  <c r="N239" i="3"/>
  <c r="N239" i="7" s="1"/>
  <c r="L239" i="3"/>
  <c r="L239" i="7" s="1"/>
  <c r="K239" i="3"/>
  <c r="K239" i="7" s="1"/>
  <c r="J239" i="3"/>
  <c r="J239" i="7" s="1"/>
  <c r="I239" i="3"/>
  <c r="I239" i="7" s="1"/>
  <c r="H239" i="3"/>
  <c r="H239" i="7" s="1"/>
  <c r="G239" i="3"/>
  <c r="G239" i="7" s="1"/>
  <c r="F239" i="3"/>
  <c r="F239" i="7" s="1"/>
  <c r="E239" i="3"/>
  <c r="E239" i="7" s="1"/>
  <c r="D239" i="3"/>
  <c r="D239" i="7" s="1"/>
  <c r="C239" i="3"/>
  <c r="C239" i="7" s="1"/>
  <c r="A239" i="3"/>
  <c r="A239" i="7" s="1"/>
  <c r="O238" i="3"/>
  <c r="O238" i="7" s="1"/>
  <c r="N238" i="3"/>
  <c r="N238" i="7" s="1"/>
  <c r="L238" i="3"/>
  <c r="L238" i="7" s="1"/>
  <c r="K238" i="3"/>
  <c r="K238" i="7" s="1"/>
  <c r="J238" i="3"/>
  <c r="J238" i="7" s="1"/>
  <c r="I238" i="3"/>
  <c r="I238" i="7" s="1"/>
  <c r="H238" i="3"/>
  <c r="H238" i="7" s="1"/>
  <c r="G238" i="3"/>
  <c r="G238" i="7" s="1"/>
  <c r="F238" i="3"/>
  <c r="F238" i="7" s="1"/>
  <c r="E238" i="3"/>
  <c r="E238" i="7" s="1"/>
  <c r="D238" i="3"/>
  <c r="D238" i="7" s="1"/>
  <c r="C238" i="3"/>
  <c r="C238" i="7" s="1"/>
  <c r="A238" i="3"/>
  <c r="A238" i="7" s="1"/>
  <c r="O237" i="3"/>
  <c r="O237" i="7" s="1"/>
  <c r="N237" i="3"/>
  <c r="N237" i="7" s="1"/>
  <c r="L237" i="3"/>
  <c r="L237" i="7" s="1"/>
  <c r="K237" i="3"/>
  <c r="K237" i="7" s="1"/>
  <c r="J237" i="3"/>
  <c r="J237" i="7" s="1"/>
  <c r="I237" i="3"/>
  <c r="I237" i="7" s="1"/>
  <c r="H237" i="3"/>
  <c r="H237" i="7" s="1"/>
  <c r="G237" i="3"/>
  <c r="G237" i="7" s="1"/>
  <c r="F237" i="3"/>
  <c r="F237" i="7" s="1"/>
  <c r="E237" i="3"/>
  <c r="E237" i="7" s="1"/>
  <c r="D237" i="3"/>
  <c r="D237" i="7" s="1"/>
  <c r="C237" i="3"/>
  <c r="C237" i="7" s="1"/>
  <c r="A237" i="3"/>
  <c r="A237" i="7" s="1"/>
  <c r="O236" i="3"/>
  <c r="O236" i="7" s="1"/>
  <c r="N236" i="3"/>
  <c r="N236" i="7" s="1"/>
  <c r="L236" i="3"/>
  <c r="L236" i="7" s="1"/>
  <c r="K236" i="3"/>
  <c r="K236" i="7" s="1"/>
  <c r="J236" i="3"/>
  <c r="J236" i="7" s="1"/>
  <c r="I236" i="3"/>
  <c r="I236" i="7" s="1"/>
  <c r="H236" i="3"/>
  <c r="H236" i="7" s="1"/>
  <c r="G236" i="3"/>
  <c r="G236" i="7" s="1"/>
  <c r="F236" i="3"/>
  <c r="F236" i="7" s="1"/>
  <c r="E236" i="3"/>
  <c r="E236" i="7" s="1"/>
  <c r="D236" i="3"/>
  <c r="D236" i="7" s="1"/>
  <c r="C236" i="3"/>
  <c r="C236" i="7" s="1"/>
  <c r="A236" i="3"/>
  <c r="A236" i="7" s="1"/>
  <c r="O235" i="3"/>
  <c r="O235" i="7" s="1"/>
  <c r="N235" i="3"/>
  <c r="N235" i="7" s="1"/>
  <c r="L235" i="3"/>
  <c r="L235" i="7" s="1"/>
  <c r="K235" i="3"/>
  <c r="K235" i="7" s="1"/>
  <c r="J235" i="3"/>
  <c r="J235" i="7" s="1"/>
  <c r="I235" i="3"/>
  <c r="I235" i="7" s="1"/>
  <c r="H235" i="3"/>
  <c r="H235" i="7" s="1"/>
  <c r="G235" i="3"/>
  <c r="G235" i="7" s="1"/>
  <c r="F235" i="3"/>
  <c r="F235" i="7" s="1"/>
  <c r="E235" i="3"/>
  <c r="E235" i="7" s="1"/>
  <c r="D235" i="3"/>
  <c r="D235" i="7" s="1"/>
  <c r="C235" i="3"/>
  <c r="C235" i="7" s="1"/>
  <c r="A235" i="3"/>
  <c r="A235" i="7" s="1"/>
  <c r="O234" i="3"/>
  <c r="O234" i="7" s="1"/>
  <c r="N234" i="3"/>
  <c r="N234" i="7" s="1"/>
  <c r="L234" i="3"/>
  <c r="L234" i="7" s="1"/>
  <c r="K234" i="3"/>
  <c r="K234" i="7" s="1"/>
  <c r="J234" i="3"/>
  <c r="J234" i="7" s="1"/>
  <c r="I234" i="3"/>
  <c r="I234" i="7" s="1"/>
  <c r="H234" i="3"/>
  <c r="H234" i="7" s="1"/>
  <c r="G234" i="3"/>
  <c r="G234" i="7" s="1"/>
  <c r="F234" i="3"/>
  <c r="F234" i="7" s="1"/>
  <c r="E234" i="3"/>
  <c r="E234" i="7" s="1"/>
  <c r="D234" i="3"/>
  <c r="D234" i="7" s="1"/>
  <c r="C234" i="3"/>
  <c r="C234" i="7" s="1"/>
  <c r="A234" i="3"/>
  <c r="A234" i="7" s="1"/>
  <c r="O233" i="3"/>
  <c r="O233" i="7" s="1"/>
  <c r="N233" i="3"/>
  <c r="N233" i="7" s="1"/>
  <c r="L233" i="3"/>
  <c r="L233" i="7" s="1"/>
  <c r="K233" i="3"/>
  <c r="K233" i="7" s="1"/>
  <c r="J233" i="3"/>
  <c r="J233" i="7" s="1"/>
  <c r="I233" i="3"/>
  <c r="I233" i="7" s="1"/>
  <c r="H233" i="3"/>
  <c r="H233" i="7" s="1"/>
  <c r="G233" i="3"/>
  <c r="G233" i="7" s="1"/>
  <c r="F233" i="3"/>
  <c r="F233" i="7" s="1"/>
  <c r="E233" i="3"/>
  <c r="E233" i="7" s="1"/>
  <c r="D233" i="3"/>
  <c r="D233" i="7" s="1"/>
  <c r="C233" i="3"/>
  <c r="C233" i="7" s="1"/>
  <c r="A233" i="3"/>
  <c r="A233" i="7" s="1"/>
  <c r="O232" i="3"/>
  <c r="O232" i="7" s="1"/>
  <c r="N232" i="3"/>
  <c r="N232" i="7" s="1"/>
  <c r="L232" i="3"/>
  <c r="L232" i="7" s="1"/>
  <c r="K232" i="3"/>
  <c r="K232" i="7" s="1"/>
  <c r="J232" i="3"/>
  <c r="J232" i="7" s="1"/>
  <c r="I232" i="3"/>
  <c r="I232" i="7" s="1"/>
  <c r="H232" i="3"/>
  <c r="H232" i="7" s="1"/>
  <c r="G232" i="3"/>
  <c r="G232" i="7" s="1"/>
  <c r="F232" i="3"/>
  <c r="F232" i="7" s="1"/>
  <c r="E232" i="3"/>
  <c r="E232" i="7" s="1"/>
  <c r="D232" i="3"/>
  <c r="D232" i="7" s="1"/>
  <c r="C232" i="3"/>
  <c r="C232" i="7" s="1"/>
  <c r="A232" i="3"/>
  <c r="A232" i="7" s="1"/>
  <c r="O231" i="3"/>
  <c r="O231" i="7" s="1"/>
  <c r="N231" i="3"/>
  <c r="N231" i="7" s="1"/>
  <c r="L231" i="3"/>
  <c r="L231" i="7" s="1"/>
  <c r="K231" i="3"/>
  <c r="K231" i="7" s="1"/>
  <c r="J231" i="3"/>
  <c r="J231" i="7" s="1"/>
  <c r="I231" i="3"/>
  <c r="I231" i="7" s="1"/>
  <c r="H231" i="3"/>
  <c r="H231" i="7" s="1"/>
  <c r="G231" i="3"/>
  <c r="G231" i="7" s="1"/>
  <c r="F231" i="3"/>
  <c r="F231" i="7" s="1"/>
  <c r="E231" i="3"/>
  <c r="E231" i="7" s="1"/>
  <c r="D231" i="3"/>
  <c r="D231" i="7" s="1"/>
  <c r="C231" i="3"/>
  <c r="C231" i="7" s="1"/>
  <c r="A231" i="3"/>
  <c r="A231" i="7" s="1"/>
  <c r="O230" i="3"/>
  <c r="O230" i="7" s="1"/>
  <c r="N230" i="3"/>
  <c r="N230" i="7" s="1"/>
  <c r="L230" i="3"/>
  <c r="L230" i="7" s="1"/>
  <c r="K230" i="3"/>
  <c r="K230" i="7" s="1"/>
  <c r="J230" i="3"/>
  <c r="J230" i="7" s="1"/>
  <c r="I230" i="3"/>
  <c r="I230" i="7" s="1"/>
  <c r="H230" i="3"/>
  <c r="H230" i="7" s="1"/>
  <c r="G230" i="3"/>
  <c r="G230" i="7" s="1"/>
  <c r="F230" i="3"/>
  <c r="F230" i="7" s="1"/>
  <c r="E230" i="3"/>
  <c r="E230" i="7" s="1"/>
  <c r="D230" i="3"/>
  <c r="D230" i="7" s="1"/>
  <c r="C230" i="3"/>
  <c r="C230" i="7" s="1"/>
  <c r="A230" i="3"/>
  <c r="A230" i="7" s="1"/>
  <c r="O229" i="3"/>
  <c r="O229" i="7" s="1"/>
  <c r="N229" i="3"/>
  <c r="N229" i="7" s="1"/>
  <c r="L229" i="3"/>
  <c r="L229" i="7" s="1"/>
  <c r="K229" i="3"/>
  <c r="K229" i="7" s="1"/>
  <c r="J229" i="3"/>
  <c r="J229" i="7" s="1"/>
  <c r="I229" i="3"/>
  <c r="I229" i="7" s="1"/>
  <c r="H229" i="3"/>
  <c r="H229" i="7" s="1"/>
  <c r="G229" i="3"/>
  <c r="G229" i="7" s="1"/>
  <c r="F229" i="3"/>
  <c r="F229" i="7" s="1"/>
  <c r="E229" i="3"/>
  <c r="E229" i="7" s="1"/>
  <c r="D229" i="3"/>
  <c r="D229" i="7" s="1"/>
  <c r="C229" i="3"/>
  <c r="C229" i="7" s="1"/>
  <c r="A229" i="3"/>
  <c r="A229" i="7" s="1"/>
  <c r="O228" i="3"/>
  <c r="O228" i="7" s="1"/>
  <c r="N228" i="3"/>
  <c r="N228" i="7" s="1"/>
  <c r="L228" i="3"/>
  <c r="L228" i="7" s="1"/>
  <c r="K228" i="3"/>
  <c r="K228" i="7" s="1"/>
  <c r="J228" i="3"/>
  <c r="J228" i="7" s="1"/>
  <c r="I228" i="3"/>
  <c r="I228" i="7" s="1"/>
  <c r="H228" i="3"/>
  <c r="H228" i="7" s="1"/>
  <c r="G228" i="3"/>
  <c r="G228" i="7" s="1"/>
  <c r="F228" i="3"/>
  <c r="F228" i="7" s="1"/>
  <c r="E228" i="3"/>
  <c r="E228" i="7" s="1"/>
  <c r="D228" i="3"/>
  <c r="D228" i="7" s="1"/>
  <c r="C228" i="3"/>
  <c r="C228" i="7" s="1"/>
  <c r="A228" i="3"/>
  <c r="A228" i="7" s="1"/>
  <c r="O227" i="3"/>
  <c r="O227" i="7" s="1"/>
  <c r="N227" i="3"/>
  <c r="N227" i="7" s="1"/>
  <c r="L227" i="3"/>
  <c r="L227" i="7" s="1"/>
  <c r="K227" i="3"/>
  <c r="K227" i="7" s="1"/>
  <c r="J227" i="3"/>
  <c r="J227" i="7" s="1"/>
  <c r="I227" i="3"/>
  <c r="I227" i="7" s="1"/>
  <c r="H227" i="3"/>
  <c r="H227" i="7" s="1"/>
  <c r="G227" i="3"/>
  <c r="G227" i="7" s="1"/>
  <c r="F227" i="3"/>
  <c r="F227" i="7" s="1"/>
  <c r="E227" i="3"/>
  <c r="E227" i="7" s="1"/>
  <c r="D227" i="3"/>
  <c r="D227" i="7" s="1"/>
  <c r="C227" i="3"/>
  <c r="C227" i="7" s="1"/>
  <c r="A227" i="3"/>
  <c r="A227" i="7" s="1"/>
  <c r="O226" i="3"/>
  <c r="O226" i="7" s="1"/>
  <c r="N226" i="3"/>
  <c r="N226" i="7" s="1"/>
  <c r="L226" i="3"/>
  <c r="L226" i="7" s="1"/>
  <c r="K226" i="3"/>
  <c r="K226" i="7" s="1"/>
  <c r="J226" i="3"/>
  <c r="J226" i="7" s="1"/>
  <c r="I226" i="3"/>
  <c r="I226" i="7" s="1"/>
  <c r="H226" i="3"/>
  <c r="H226" i="7" s="1"/>
  <c r="G226" i="3"/>
  <c r="G226" i="7" s="1"/>
  <c r="F226" i="3"/>
  <c r="F226" i="7" s="1"/>
  <c r="E226" i="3"/>
  <c r="E226" i="7" s="1"/>
  <c r="D226" i="3"/>
  <c r="D226" i="7" s="1"/>
  <c r="C226" i="3"/>
  <c r="C226" i="7" s="1"/>
  <c r="A226" i="3"/>
  <c r="A226" i="7" s="1"/>
  <c r="O225" i="3"/>
  <c r="O225" i="7" s="1"/>
  <c r="N225" i="3"/>
  <c r="N225" i="7" s="1"/>
  <c r="L225" i="3"/>
  <c r="L225" i="7" s="1"/>
  <c r="K225" i="3"/>
  <c r="K225" i="7" s="1"/>
  <c r="J225" i="3"/>
  <c r="J225" i="7" s="1"/>
  <c r="I225" i="3"/>
  <c r="I225" i="7" s="1"/>
  <c r="H225" i="3"/>
  <c r="H225" i="7" s="1"/>
  <c r="G225" i="3"/>
  <c r="G225" i="7" s="1"/>
  <c r="F225" i="3"/>
  <c r="F225" i="7" s="1"/>
  <c r="E225" i="3"/>
  <c r="E225" i="7" s="1"/>
  <c r="D225" i="3"/>
  <c r="D225" i="7" s="1"/>
  <c r="C225" i="3"/>
  <c r="C225" i="7" s="1"/>
  <c r="A225" i="3"/>
  <c r="A225" i="7" s="1"/>
  <c r="O224" i="3"/>
  <c r="O224" i="7" s="1"/>
  <c r="N224" i="3"/>
  <c r="N224" i="7" s="1"/>
  <c r="L224" i="3"/>
  <c r="L224" i="7" s="1"/>
  <c r="K224" i="3"/>
  <c r="K224" i="7" s="1"/>
  <c r="J224" i="3"/>
  <c r="J224" i="7" s="1"/>
  <c r="I224" i="3"/>
  <c r="I224" i="7" s="1"/>
  <c r="H224" i="3"/>
  <c r="H224" i="7" s="1"/>
  <c r="G224" i="3"/>
  <c r="G224" i="7" s="1"/>
  <c r="F224" i="3"/>
  <c r="F224" i="7" s="1"/>
  <c r="E224" i="3"/>
  <c r="E224" i="7" s="1"/>
  <c r="D224" i="3"/>
  <c r="D224" i="7" s="1"/>
  <c r="C224" i="3"/>
  <c r="C224" i="7" s="1"/>
  <c r="A224" i="3"/>
  <c r="A224" i="7" s="1"/>
  <c r="O223" i="3"/>
  <c r="O223" i="7" s="1"/>
  <c r="N223" i="3"/>
  <c r="N223" i="7" s="1"/>
  <c r="L223" i="3"/>
  <c r="L223" i="7" s="1"/>
  <c r="K223" i="3"/>
  <c r="K223" i="7" s="1"/>
  <c r="J223" i="3"/>
  <c r="J223" i="7" s="1"/>
  <c r="I223" i="3"/>
  <c r="I223" i="7" s="1"/>
  <c r="H223" i="3"/>
  <c r="H223" i="7" s="1"/>
  <c r="G223" i="3"/>
  <c r="G223" i="7" s="1"/>
  <c r="F223" i="3"/>
  <c r="F223" i="7" s="1"/>
  <c r="E223" i="3"/>
  <c r="E223" i="7" s="1"/>
  <c r="D223" i="3"/>
  <c r="D223" i="7" s="1"/>
  <c r="C223" i="3"/>
  <c r="C223" i="7" s="1"/>
  <c r="A223" i="3"/>
  <c r="A223" i="7" s="1"/>
  <c r="O222" i="3"/>
  <c r="O222" i="7" s="1"/>
  <c r="N222" i="3"/>
  <c r="N222" i="7" s="1"/>
  <c r="L222" i="3"/>
  <c r="L222" i="7" s="1"/>
  <c r="K222" i="3"/>
  <c r="K222" i="7" s="1"/>
  <c r="J222" i="3"/>
  <c r="J222" i="7" s="1"/>
  <c r="I222" i="3"/>
  <c r="I222" i="7" s="1"/>
  <c r="H222" i="3"/>
  <c r="H222" i="7" s="1"/>
  <c r="G222" i="3"/>
  <c r="G222" i="7" s="1"/>
  <c r="F222" i="3"/>
  <c r="F222" i="7" s="1"/>
  <c r="E222" i="3"/>
  <c r="E222" i="7" s="1"/>
  <c r="D222" i="3"/>
  <c r="D222" i="7" s="1"/>
  <c r="C222" i="3"/>
  <c r="C222" i="7" s="1"/>
  <c r="A222" i="3"/>
  <c r="A222" i="7" s="1"/>
  <c r="O221" i="3"/>
  <c r="O221" i="7" s="1"/>
  <c r="N221" i="3"/>
  <c r="N221" i="7" s="1"/>
  <c r="L221" i="3"/>
  <c r="L221" i="7" s="1"/>
  <c r="K221" i="3"/>
  <c r="K221" i="7" s="1"/>
  <c r="J221" i="3"/>
  <c r="J221" i="7" s="1"/>
  <c r="I221" i="3"/>
  <c r="I221" i="7" s="1"/>
  <c r="H221" i="3"/>
  <c r="H221" i="7" s="1"/>
  <c r="G221" i="3"/>
  <c r="G221" i="7" s="1"/>
  <c r="F221" i="3"/>
  <c r="F221" i="7" s="1"/>
  <c r="E221" i="3"/>
  <c r="E221" i="7" s="1"/>
  <c r="D221" i="3"/>
  <c r="D221" i="7" s="1"/>
  <c r="C221" i="3"/>
  <c r="C221" i="7" s="1"/>
  <c r="A221" i="3"/>
  <c r="A221" i="7" s="1"/>
  <c r="O220" i="3"/>
  <c r="O220" i="7" s="1"/>
  <c r="N220" i="3"/>
  <c r="N220" i="7" s="1"/>
  <c r="L220" i="3"/>
  <c r="L220" i="7" s="1"/>
  <c r="K220" i="3"/>
  <c r="K220" i="7" s="1"/>
  <c r="J220" i="3"/>
  <c r="J220" i="7" s="1"/>
  <c r="I220" i="3"/>
  <c r="I220" i="7" s="1"/>
  <c r="H220" i="3"/>
  <c r="H220" i="7" s="1"/>
  <c r="G220" i="3"/>
  <c r="G220" i="7" s="1"/>
  <c r="F220" i="3"/>
  <c r="F220" i="7" s="1"/>
  <c r="E220" i="3"/>
  <c r="E220" i="7" s="1"/>
  <c r="D220" i="3"/>
  <c r="D220" i="7" s="1"/>
  <c r="C220" i="3"/>
  <c r="C220" i="7" s="1"/>
  <c r="A220" i="3"/>
  <c r="A220" i="7" s="1"/>
  <c r="O219" i="3"/>
  <c r="O219" i="7" s="1"/>
  <c r="N219" i="3"/>
  <c r="N219" i="7" s="1"/>
  <c r="L219" i="3"/>
  <c r="L219" i="7" s="1"/>
  <c r="K219" i="3"/>
  <c r="K219" i="7" s="1"/>
  <c r="J219" i="3"/>
  <c r="J219" i="7" s="1"/>
  <c r="I219" i="3"/>
  <c r="I219" i="7" s="1"/>
  <c r="H219" i="3"/>
  <c r="H219" i="7" s="1"/>
  <c r="G219" i="3"/>
  <c r="G219" i="7" s="1"/>
  <c r="F219" i="3"/>
  <c r="F219" i="7" s="1"/>
  <c r="E219" i="3"/>
  <c r="E219" i="7" s="1"/>
  <c r="D219" i="3"/>
  <c r="D219" i="7" s="1"/>
  <c r="C219" i="3"/>
  <c r="C219" i="7" s="1"/>
  <c r="A219" i="3"/>
  <c r="A219" i="7" s="1"/>
  <c r="O218" i="3"/>
  <c r="O218" i="7" s="1"/>
  <c r="N218" i="3"/>
  <c r="N218" i="7" s="1"/>
  <c r="L218" i="3"/>
  <c r="L218" i="7" s="1"/>
  <c r="K218" i="3"/>
  <c r="K218" i="7" s="1"/>
  <c r="J218" i="3"/>
  <c r="J218" i="7" s="1"/>
  <c r="I218" i="3"/>
  <c r="I218" i="7" s="1"/>
  <c r="H218" i="3"/>
  <c r="H218" i="7" s="1"/>
  <c r="G218" i="3"/>
  <c r="G218" i="7" s="1"/>
  <c r="F218" i="3"/>
  <c r="F218" i="7" s="1"/>
  <c r="E218" i="3"/>
  <c r="E218" i="7" s="1"/>
  <c r="D218" i="3"/>
  <c r="D218" i="7" s="1"/>
  <c r="C218" i="3"/>
  <c r="C218" i="7" s="1"/>
  <c r="A218" i="3"/>
  <c r="A218" i="7" s="1"/>
  <c r="O217" i="3"/>
  <c r="O217" i="7" s="1"/>
  <c r="N217" i="3"/>
  <c r="N217" i="7" s="1"/>
  <c r="L217" i="3"/>
  <c r="L217" i="7" s="1"/>
  <c r="K217" i="3"/>
  <c r="K217" i="7" s="1"/>
  <c r="J217" i="3"/>
  <c r="J217" i="7" s="1"/>
  <c r="I217" i="3"/>
  <c r="I217" i="7" s="1"/>
  <c r="H217" i="3"/>
  <c r="H217" i="7" s="1"/>
  <c r="G217" i="3"/>
  <c r="G217" i="7" s="1"/>
  <c r="F217" i="3"/>
  <c r="F217" i="7" s="1"/>
  <c r="E217" i="3"/>
  <c r="E217" i="7" s="1"/>
  <c r="D217" i="3"/>
  <c r="D217" i="7" s="1"/>
  <c r="C217" i="3"/>
  <c r="C217" i="7" s="1"/>
  <c r="A217" i="3"/>
  <c r="A217" i="7" s="1"/>
  <c r="O216" i="3"/>
  <c r="O216" i="7" s="1"/>
  <c r="N216" i="3"/>
  <c r="N216" i="7" s="1"/>
  <c r="L216" i="3"/>
  <c r="L216" i="7" s="1"/>
  <c r="K216" i="3"/>
  <c r="K216" i="7" s="1"/>
  <c r="J216" i="3"/>
  <c r="J216" i="7" s="1"/>
  <c r="I216" i="3"/>
  <c r="I216" i="7" s="1"/>
  <c r="H216" i="3"/>
  <c r="H216" i="7" s="1"/>
  <c r="G216" i="3"/>
  <c r="G216" i="7" s="1"/>
  <c r="F216" i="3"/>
  <c r="F216" i="7" s="1"/>
  <c r="E216" i="3"/>
  <c r="E216" i="7" s="1"/>
  <c r="D216" i="3"/>
  <c r="D216" i="7" s="1"/>
  <c r="C216" i="3"/>
  <c r="C216" i="7" s="1"/>
  <c r="A216" i="3"/>
  <c r="A216" i="7" s="1"/>
  <c r="O215" i="3"/>
  <c r="O215" i="7" s="1"/>
  <c r="N215" i="3"/>
  <c r="N215" i="7" s="1"/>
  <c r="L215" i="3"/>
  <c r="L215" i="7" s="1"/>
  <c r="K215" i="3"/>
  <c r="K215" i="7" s="1"/>
  <c r="J215" i="3"/>
  <c r="J215" i="7" s="1"/>
  <c r="I215" i="3"/>
  <c r="I215" i="7" s="1"/>
  <c r="H215" i="3"/>
  <c r="H215" i="7" s="1"/>
  <c r="G215" i="3"/>
  <c r="G215" i="7" s="1"/>
  <c r="F215" i="3"/>
  <c r="F215" i="7" s="1"/>
  <c r="E215" i="3"/>
  <c r="E215" i="7" s="1"/>
  <c r="D215" i="3"/>
  <c r="D215" i="7" s="1"/>
  <c r="C215" i="3"/>
  <c r="C215" i="7" s="1"/>
  <c r="A215" i="3"/>
  <c r="A215" i="7" s="1"/>
  <c r="O214" i="3"/>
  <c r="O214" i="7" s="1"/>
  <c r="N214" i="3"/>
  <c r="N214" i="7" s="1"/>
  <c r="L214" i="3"/>
  <c r="L214" i="7" s="1"/>
  <c r="K214" i="3"/>
  <c r="K214" i="7" s="1"/>
  <c r="J214" i="3"/>
  <c r="J214" i="7" s="1"/>
  <c r="I214" i="3"/>
  <c r="I214" i="7" s="1"/>
  <c r="H214" i="3"/>
  <c r="H214" i="7" s="1"/>
  <c r="G214" i="3"/>
  <c r="G214" i="7" s="1"/>
  <c r="F214" i="3"/>
  <c r="F214" i="7" s="1"/>
  <c r="E214" i="3"/>
  <c r="E214" i="7" s="1"/>
  <c r="D214" i="3"/>
  <c r="D214" i="7" s="1"/>
  <c r="C214" i="3"/>
  <c r="C214" i="7" s="1"/>
  <c r="A214" i="3"/>
  <c r="A214" i="7" s="1"/>
  <c r="O213" i="3"/>
  <c r="O213" i="7" s="1"/>
  <c r="N213" i="3"/>
  <c r="N213" i="7" s="1"/>
  <c r="L213" i="3"/>
  <c r="L213" i="7" s="1"/>
  <c r="K213" i="3"/>
  <c r="K213" i="7" s="1"/>
  <c r="J213" i="3"/>
  <c r="J213" i="7" s="1"/>
  <c r="I213" i="3"/>
  <c r="I213" i="7" s="1"/>
  <c r="H213" i="3"/>
  <c r="H213" i="7" s="1"/>
  <c r="G213" i="3"/>
  <c r="G213" i="7" s="1"/>
  <c r="F213" i="3"/>
  <c r="F213" i="7" s="1"/>
  <c r="E213" i="3"/>
  <c r="E213" i="7" s="1"/>
  <c r="D213" i="3"/>
  <c r="D213" i="7" s="1"/>
  <c r="C213" i="3"/>
  <c r="C213" i="7" s="1"/>
  <c r="A213" i="3"/>
  <c r="A213" i="7" s="1"/>
  <c r="O212" i="3"/>
  <c r="O212" i="7" s="1"/>
  <c r="N212" i="3"/>
  <c r="N212" i="7" s="1"/>
  <c r="L212" i="3"/>
  <c r="L212" i="7" s="1"/>
  <c r="K212" i="3"/>
  <c r="K212" i="7" s="1"/>
  <c r="J212" i="3"/>
  <c r="J212" i="7" s="1"/>
  <c r="I212" i="3"/>
  <c r="I212" i="7" s="1"/>
  <c r="H212" i="3"/>
  <c r="H212" i="7" s="1"/>
  <c r="G212" i="3"/>
  <c r="G212" i="7" s="1"/>
  <c r="F212" i="3"/>
  <c r="F212" i="7" s="1"/>
  <c r="E212" i="3"/>
  <c r="E212" i="7" s="1"/>
  <c r="D212" i="3"/>
  <c r="D212" i="7" s="1"/>
  <c r="C212" i="3"/>
  <c r="C212" i="7" s="1"/>
  <c r="A212" i="3"/>
  <c r="A212" i="7" s="1"/>
  <c r="O211" i="3"/>
  <c r="O211" i="7" s="1"/>
  <c r="N211" i="3"/>
  <c r="N211" i="7" s="1"/>
  <c r="L211" i="3"/>
  <c r="L211" i="7" s="1"/>
  <c r="K211" i="3"/>
  <c r="K211" i="7" s="1"/>
  <c r="J211" i="3"/>
  <c r="J211" i="7" s="1"/>
  <c r="I211" i="3"/>
  <c r="I211" i="7" s="1"/>
  <c r="H211" i="3"/>
  <c r="H211" i="7" s="1"/>
  <c r="G211" i="3"/>
  <c r="G211" i="7" s="1"/>
  <c r="F211" i="3"/>
  <c r="F211" i="7" s="1"/>
  <c r="E211" i="3"/>
  <c r="E211" i="7" s="1"/>
  <c r="D211" i="3"/>
  <c r="D211" i="7" s="1"/>
  <c r="C211" i="3"/>
  <c r="C211" i="7" s="1"/>
  <c r="A211" i="3"/>
  <c r="A211" i="7" s="1"/>
  <c r="O210" i="3"/>
  <c r="O210" i="7" s="1"/>
  <c r="N210" i="3"/>
  <c r="N210" i="7" s="1"/>
  <c r="L210" i="3"/>
  <c r="L210" i="7" s="1"/>
  <c r="K210" i="3"/>
  <c r="K210" i="7" s="1"/>
  <c r="J210" i="3"/>
  <c r="J210" i="7" s="1"/>
  <c r="I210" i="3"/>
  <c r="I210" i="7" s="1"/>
  <c r="H210" i="3"/>
  <c r="H210" i="7" s="1"/>
  <c r="G210" i="3"/>
  <c r="G210" i="7" s="1"/>
  <c r="F210" i="3"/>
  <c r="F210" i="7" s="1"/>
  <c r="E210" i="3"/>
  <c r="E210" i="7" s="1"/>
  <c r="D210" i="3"/>
  <c r="D210" i="7" s="1"/>
  <c r="C210" i="3"/>
  <c r="C210" i="7" s="1"/>
  <c r="A210" i="3"/>
  <c r="A210" i="7" s="1"/>
  <c r="O209" i="3"/>
  <c r="O209" i="7" s="1"/>
  <c r="N209" i="3"/>
  <c r="N209" i="7" s="1"/>
  <c r="L209" i="3"/>
  <c r="L209" i="7" s="1"/>
  <c r="K209" i="3"/>
  <c r="K209" i="7" s="1"/>
  <c r="J209" i="3"/>
  <c r="J209" i="7" s="1"/>
  <c r="I209" i="3"/>
  <c r="I209" i="7" s="1"/>
  <c r="H209" i="3"/>
  <c r="H209" i="7" s="1"/>
  <c r="G209" i="3"/>
  <c r="G209" i="7" s="1"/>
  <c r="F209" i="3"/>
  <c r="F209" i="7" s="1"/>
  <c r="E209" i="3"/>
  <c r="E209" i="7" s="1"/>
  <c r="D209" i="3"/>
  <c r="D209" i="7" s="1"/>
  <c r="C209" i="3"/>
  <c r="C209" i="7" s="1"/>
  <c r="A209" i="3"/>
  <c r="A209" i="7" s="1"/>
  <c r="O208" i="3"/>
  <c r="O208" i="7" s="1"/>
  <c r="N208" i="3"/>
  <c r="N208" i="7" s="1"/>
  <c r="L208" i="3"/>
  <c r="L208" i="7" s="1"/>
  <c r="K208" i="3"/>
  <c r="K208" i="7" s="1"/>
  <c r="J208" i="3"/>
  <c r="J208" i="7" s="1"/>
  <c r="I208" i="3"/>
  <c r="I208" i="7" s="1"/>
  <c r="H208" i="3"/>
  <c r="H208" i="7" s="1"/>
  <c r="G208" i="3"/>
  <c r="G208" i="7" s="1"/>
  <c r="F208" i="3"/>
  <c r="F208" i="7" s="1"/>
  <c r="E208" i="3"/>
  <c r="E208" i="7" s="1"/>
  <c r="D208" i="3"/>
  <c r="D208" i="7" s="1"/>
  <c r="C208" i="3"/>
  <c r="C208" i="7" s="1"/>
  <c r="A208" i="3"/>
  <c r="A208" i="7" s="1"/>
  <c r="O207" i="3"/>
  <c r="O207" i="7" s="1"/>
  <c r="N207" i="3"/>
  <c r="N207" i="7" s="1"/>
  <c r="L207" i="3"/>
  <c r="L207" i="7" s="1"/>
  <c r="K207" i="3"/>
  <c r="K207" i="7" s="1"/>
  <c r="J207" i="3"/>
  <c r="J207" i="7" s="1"/>
  <c r="I207" i="3"/>
  <c r="I207" i="7" s="1"/>
  <c r="H207" i="3"/>
  <c r="H207" i="7" s="1"/>
  <c r="G207" i="3"/>
  <c r="G207" i="7" s="1"/>
  <c r="F207" i="3"/>
  <c r="F207" i="7" s="1"/>
  <c r="E207" i="3"/>
  <c r="E207" i="7" s="1"/>
  <c r="D207" i="3"/>
  <c r="D207" i="7" s="1"/>
  <c r="C207" i="3"/>
  <c r="C207" i="7" s="1"/>
  <c r="A207" i="3"/>
  <c r="A207" i="7" s="1"/>
  <c r="O206" i="3"/>
  <c r="O206" i="7" s="1"/>
  <c r="N206" i="3"/>
  <c r="N206" i="7" s="1"/>
  <c r="L206" i="3"/>
  <c r="L206" i="7" s="1"/>
  <c r="K206" i="3"/>
  <c r="K206" i="7" s="1"/>
  <c r="J206" i="3"/>
  <c r="J206" i="7" s="1"/>
  <c r="I206" i="3"/>
  <c r="I206" i="7" s="1"/>
  <c r="H206" i="3"/>
  <c r="H206" i="7" s="1"/>
  <c r="G206" i="3"/>
  <c r="G206" i="7" s="1"/>
  <c r="F206" i="3"/>
  <c r="F206" i="7" s="1"/>
  <c r="E206" i="3"/>
  <c r="E206" i="7" s="1"/>
  <c r="D206" i="3"/>
  <c r="D206" i="7" s="1"/>
  <c r="C206" i="3"/>
  <c r="C206" i="7" s="1"/>
  <c r="A206" i="3"/>
  <c r="A206" i="7" s="1"/>
  <c r="O205" i="3"/>
  <c r="O205" i="7" s="1"/>
  <c r="N205" i="3"/>
  <c r="N205" i="7" s="1"/>
  <c r="L205" i="3"/>
  <c r="L205" i="7" s="1"/>
  <c r="K205" i="3"/>
  <c r="K205" i="7" s="1"/>
  <c r="J205" i="3"/>
  <c r="J205" i="7" s="1"/>
  <c r="I205" i="3"/>
  <c r="I205" i="7" s="1"/>
  <c r="H205" i="3"/>
  <c r="H205" i="7" s="1"/>
  <c r="G205" i="3"/>
  <c r="G205" i="7" s="1"/>
  <c r="F205" i="3"/>
  <c r="F205" i="7" s="1"/>
  <c r="E205" i="3"/>
  <c r="E205" i="7" s="1"/>
  <c r="D205" i="3"/>
  <c r="D205" i="7" s="1"/>
  <c r="C205" i="3"/>
  <c r="C205" i="7" s="1"/>
  <c r="A205" i="3"/>
  <c r="A205" i="7" s="1"/>
  <c r="O204" i="3"/>
  <c r="O204" i="7" s="1"/>
  <c r="N204" i="3"/>
  <c r="N204" i="7" s="1"/>
  <c r="L204" i="3"/>
  <c r="L204" i="7" s="1"/>
  <c r="K204" i="3"/>
  <c r="K204" i="7" s="1"/>
  <c r="J204" i="3"/>
  <c r="J204" i="7" s="1"/>
  <c r="I204" i="3"/>
  <c r="I204" i="7" s="1"/>
  <c r="H204" i="3"/>
  <c r="H204" i="7" s="1"/>
  <c r="G204" i="3"/>
  <c r="G204" i="7" s="1"/>
  <c r="F204" i="3"/>
  <c r="F204" i="7" s="1"/>
  <c r="E204" i="3"/>
  <c r="E204" i="7" s="1"/>
  <c r="D204" i="3"/>
  <c r="D204" i="7" s="1"/>
  <c r="C204" i="3"/>
  <c r="C204" i="7" s="1"/>
  <c r="A204" i="3"/>
  <c r="A204" i="7" s="1"/>
  <c r="O203" i="3"/>
  <c r="O203" i="7" s="1"/>
  <c r="N203" i="3"/>
  <c r="N203" i="7" s="1"/>
  <c r="L203" i="3"/>
  <c r="L203" i="7" s="1"/>
  <c r="K203" i="3"/>
  <c r="K203" i="7" s="1"/>
  <c r="J203" i="3"/>
  <c r="J203" i="7" s="1"/>
  <c r="I203" i="3"/>
  <c r="I203" i="7" s="1"/>
  <c r="H203" i="3"/>
  <c r="H203" i="7" s="1"/>
  <c r="G203" i="3"/>
  <c r="G203" i="7" s="1"/>
  <c r="F203" i="3"/>
  <c r="F203" i="7" s="1"/>
  <c r="E203" i="3"/>
  <c r="E203" i="7" s="1"/>
  <c r="D203" i="3"/>
  <c r="D203" i="7" s="1"/>
  <c r="C203" i="3"/>
  <c r="C203" i="7" s="1"/>
  <c r="A203" i="3"/>
  <c r="A203" i="7" s="1"/>
  <c r="O202" i="3"/>
  <c r="O202" i="7" s="1"/>
  <c r="N202" i="3"/>
  <c r="N202" i="7" s="1"/>
  <c r="L202" i="3"/>
  <c r="L202" i="7" s="1"/>
  <c r="K202" i="3"/>
  <c r="K202" i="7" s="1"/>
  <c r="J202" i="3"/>
  <c r="J202" i="7" s="1"/>
  <c r="I202" i="3"/>
  <c r="I202" i="7" s="1"/>
  <c r="H202" i="3"/>
  <c r="H202" i="7" s="1"/>
  <c r="G202" i="3"/>
  <c r="G202" i="7" s="1"/>
  <c r="F202" i="3"/>
  <c r="F202" i="7" s="1"/>
  <c r="E202" i="3"/>
  <c r="E202" i="7" s="1"/>
  <c r="D202" i="3"/>
  <c r="D202" i="7" s="1"/>
  <c r="C202" i="3"/>
  <c r="C202" i="7" s="1"/>
  <c r="A202" i="3"/>
  <c r="A202" i="7" s="1"/>
  <c r="O201" i="3"/>
  <c r="O201" i="7" s="1"/>
  <c r="N201" i="3"/>
  <c r="N201" i="7" s="1"/>
  <c r="L201" i="3"/>
  <c r="L201" i="7" s="1"/>
  <c r="K201" i="3"/>
  <c r="K201" i="7" s="1"/>
  <c r="J201" i="3"/>
  <c r="J201" i="7" s="1"/>
  <c r="I201" i="3"/>
  <c r="I201" i="7" s="1"/>
  <c r="H201" i="3"/>
  <c r="H201" i="7" s="1"/>
  <c r="G201" i="3"/>
  <c r="G201" i="7" s="1"/>
  <c r="F201" i="3"/>
  <c r="F201" i="7" s="1"/>
  <c r="E201" i="3"/>
  <c r="E201" i="7" s="1"/>
  <c r="D201" i="3"/>
  <c r="D201" i="7" s="1"/>
  <c r="C201" i="3"/>
  <c r="C201" i="7" s="1"/>
  <c r="A201" i="3"/>
  <c r="A201" i="7" s="1"/>
  <c r="O200" i="3"/>
  <c r="O200" i="7" s="1"/>
  <c r="N200" i="3"/>
  <c r="N200" i="7" s="1"/>
  <c r="L200" i="3"/>
  <c r="L200" i="7" s="1"/>
  <c r="K200" i="3"/>
  <c r="K200" i="7" s="1"/>
  <c r="J200" i="3"/>
  <c r="J200" i="7" s="1"/>
  <c r="I200" i="3"/>
  <c r="I200" i="7" s="1"/>
  <c r="H200" i="3"/>
  <c r="H200" i="7" s="1"/>
  <c r="G200" i="3"/>
  <c r="G200" i="7" s="1"/>
  <c r="F200" i="3"/>
  <c r="F200" i="7" s="1"/>
  <c r="E200" i="3"/>
  <c r="E200" i="7" s="1"/>
  <c r="D200" i="3"/>
  <c r="D200" i="7" s="1"/>
  <c r="C200" i="3"/>
  <c r="C200" i="7" s="1"/>
  <c r="A200" i="3"/>
  <c r="A200" i="7" s="1"/>
  <c r="O199" i="3"/>
  <c r="O199" i="7" s="1"/>
  <c r="N199" i="3"/>
  <c r="N199" i="7" s="1"/>
  <c r="L199" i="3"/>
  <c r="L199" i="7" s="1"/>
  <c r="K199" i="3"/>
  <c r="K199" i="7" s="1"/>
  <c r="J199" i="3"/>
  <c r="J199" i="7" s="1"/>
  <c r="I199" i="3"/>
  <c r="I199" i="7" s="1"/>
  <c r="H199" i="3"/>
  <c r="H199" i="7" s="1"/>
  <c r="G199" i="3"/>
  <c r="G199" i="7" s="1"/>
  <c r="F199" i="3"/>
  <c r="F199" i="7" s="1"/>
  <c r="E199" i="3"/>
  <c r="E199" i="7" s="1"/>
  <c r="D199" i="3"/>
  <c r="D199" i="7" s="1"/>
  <c r="C199" i="3"/>
  <c r="C199" i="7" s="1"/>
  <c r="A199" i="3"/>
  <c r="A199" i="7" s="1"/>
  <c r="O198" i="3"/>
  <c r="O198" i="7" s="1"/>
  <c r="N198" i="3"/>
  <c r="N198" i="7" s="1"/>
  <c r="L198" i="3"/>
  <c r="L198" i="7" s="1"/>
  <c r="K198" i="3"/>
  <c r="K198" i="7" s="1"/>
  <c r="J198" i="3"/>
  <c r="J198" i="7" s="1"/>
  <c r="I198" i="3"/>
  <c r="I198" i="7" s="1"/>
  <c r="H198" i="3"/>
  <c r="H198" i="7" s="1"/>
  <c r="G198" i="3"/>
  <c r="G198" i="7" s="1"/>
  <c r="F198" i="3"/>
  <c r="F198" i="7" s="1"/>
  <c r="E198" i="3"/>
  <c r="E198" i="7" s="1"/>
  <c r="D198" i="3"/>
  <c r="D198" i="7" s="1"/>
  <c r="C198" i="3"/>
  <c r="C198" i="7" s="1"/>
  <c r="A198" i="3"/>
  <c r="A198" i="7" s="1"/>
  <c r="O197" i="3"/>
  <c r="O197" i="7" s="1"/>
  <c r="N197" i="3"/>
  <c r="N197" i="7" s="1"/>
  <c r="L197" i="3"/>
  <c r="L197" i="7" s="1"/>
  <c r="K197" i="3"/>
  <c r="K197" i="7" s="1"/>
  <c r="J197" i="3"/>
  <c r="J197" i="7" s="1"/>
  <c r="I197" i="3"/>
  <c r="I197" i="7" s="1"/>
  <c r="H197" i="3"/>
  <c r="H197" i="7" s="1"/>
  <c r="G197" i="3"/>
  <c r="G197" i="7" s="1"/>
  <c r="F197" i="3"/>
  <c r="F197" i="7" s="1"/>
  <c r="E197" i="3"/>
  <c r="E197" i="7" s="1"/>
  <c r="D197" i="3"/>
  <c r="D197" i="7" s="1"/>
  <c r="C197" i="3"/>
  <c r="C197" i="7" s="1"/>
  <c r="A197" i="3"/>
  <c r="A197" i="7" s="1"/>
  <c r="O196" i="3"/>
  <c r="O196" i="7" s="1"/>
  <c r="N196" i="3"/>
  <c r="N196" i="7" s="1"/>
  <c r="L196" i="3"/>
  <c r="L196" i="7" s="1"/>
  <c r="K196" i="3"/>
  <c r="K196" i="7" s="1"/>
  <c r="J196" i="3"/>
  <c r="J196" i="7" s="1"/>
  <c r="I196" i="3"/>
  <c r="I196" i="7" s="1"/>
  <c r="H196" i="3"/>
  <c r="H196" i="7" s="1"/>
  <c r="G196" i="3"/>
  <c r="G196" i="7" s="1"/>
  <c r="F196" i="3"/>
  <c r="F196" i="7" s="1"/>
  <c r="E196" i="3"/>
  <c r="E196" i="7" s="1"/>
  <c r="D196" i="3"/>
  <c r="D196" i="7" s="1"/>
  <c r="C196" i="3"/>
  <c r="C196" i="7" s="1"/>
  <c r="A196" i="3"/>
  <c r="A196" i="7" s="1"/>
  <c r="O195" i="3"/>
  <c r="O195" i="7" s="1"/>
  <c r="N195" i="3"/>
  <c r="N195" i="7" s="1"/>
  <c r="L195" i="3"/>
  <c r="L195" i="7" s="1"/>
  <c r="K195" i="3"/>
  <c r="K195" i="7" s="1"/>
  <c r="J195" i="3"/>
  <c r="J195" i="7" s="1"/>
  <c r="I195" i="3"/>
  <c r="I195" i="7" s="1"/>
  <c r="H195" i="3"/>
  <c r="H195" i="7" s="1"/>
  <c r="G195" i="3"/>
  <c r="G195" i="7" s="1"/>
  <c r="F195" i="3"/>
  <c r="F195" i="7" s="1"/>
  <c r="E195" i="3"/>
  <c r="E195" i="7" s="1"/>
  <c r="D195" i="3"/>
  <c r="D195" i="7" s="1"/>
  <c r="C195" i="3"/>
  <c r="C195" i="7" s="1"/>
  <c r="A195" i="3"/>
  <c r="A195" i="7" s="1"/>
  <c r="O194" i="3"/>
  <c r="O194" i="7" s="1"/>
  <c r="N194" i="3"/>
  <c r="N194" i="7" s="1"/>
  <c r="L194" i="3"/>
  <c r="L194" i="7" s="1"/>
  <c r="K194" i="3"/>
  <c r="K194" i="7" s="1"/>
  <c r="J194" i="3"/>
  <c r="J194" i="7" s="1"/>
  <c r="I194" i="3"/>
  <c r="I194" i="7" s="1"/>
  <c r="H194" i="3"/>
  <c r="H194" i="7" s="1"/>
  <c r="G194" i="3"/>
  <c r="G194" i="7" s="1"/>
  <c r="F194" i="3"/>
  <c r="F194" i="7" s="1"/>
  <c r="E194" i="3"/>
  <c r="E194" i="7" s="1"/>
  <c r="D194" i="3"/>
  <c r="D194" i="7" s="1"/>
  <c r="C194" i="3"/>
  <c r="C194" i="7" s="1"/>
  <c r="A194" i="3"/>
  <c r="A194" i="7" s="1"/>
  <c r="O193" i="3"/>
  <c r="O193" i="7" s="1"/>
  <c r="N193" i="3"/>
  <c r="N193" i="7" s="1"/>
  <c r="L193" i="3"/>
  <c r="L193" i="7" s="1"/>
  <c r="K193" i="3"/>
  <c r="K193" i="7" s="1"/>
  <c r="J193" i="3"/>
  <c r="J193" i="7" s="1"/>
  <c r="I193" i="3"/>
  <c r="I193" i="7" s="1"/>
  <c r="H193" i="3"/>
  <c r="H193" i="7" s="1"/>
  <c r="G193" i="3"/>
  <c r="G193" i="7" s="1"/>
  <c r="F193" i="3"/>
  <c r="F193" i="7" s="1"/>
  <c r="E193" i="3"/>
  <c r="E193" i="7" s="1"/>
  <c r="D193" i="3"/>
  <c r="D193" i="7" s="1"/>
  <c r="C193" i="3"/>
  <c r="C193" i="7" s="1"/>
  <c r="A193" i="3"/>
  <c r="A193" i="7" s="1"/>
  <c r="O192" i="3"/>
  <c r="O192" i="7" s="1"/>
  <c r="N192" i="3"/>
  <c r="N192" i="7" s="1"/>
  <c r="L192" i="3"/>
  <c r="L192" i="7" s="1"/>
  <c r="K192" i="3"/>
  <c r="K192" i="7" s="1"/>
  <c r="J192" i="3"/>
  <c r="J192" i="7" s="1"/>
  <c r="I192" i="3"/>
  <c r="I192" i="7" s="1"/>
  <c r="H192" i="3"/>
  <c r="H192" i="7" s="1"/>
  <c r="G192" i="3"/>
  <c r="G192" i="7" s="1"/>
  <c r="F192" i="3"/>
  <c r="F192" i="7" s="1"/>
  <c r="E192" i="3"/>
  <c r="E192" i="7" s="1"/>
  <c r="D192" i="3"/>
  <c r="D192" i="7" s="1"/>
  <c r="C192" i="3"/>
  <c r="C192" i="7" s="1"/>
  <c r="A192" i="3"/>
  <c r="A192" i="7" s="1"/>
  <c r="O191" i="3"/>
  <c r="O191" i="7" s="1"/>
  <c r="N191" i="3"/>
  <c r="N191" i="7" s="1"/>
  <c r="L191" i="3"/>
  <c r="L191" i="7" s="1"/>
  <c r="K191" i="3"/>
  <c r="K191" i="7" s="1"/>
  <c r="J191" i="3"/>
  <c r="J191" i="7" s="1"/>
  <c r="I191" i="3"/>
  <c r="I191" i="7" s="1"/>
  <c r="H191" i="3"/>
  <c r="H191" i="7" s="1"/>
  <c r="G191" i="3"/>
  <c r="G191" i="7" s="1"/>
  <c r="F191" i="3"/>
  <c r="F191" i="7" s="1"/>
  <c r="E191" i="3"/>
  <c r="E191" i="7" s="1"/>
  <c r="D191" i="3"/>
  <c r="D191" i="7" s="1"/>
  <c r="C191" i="3"/>
  <c r="C191" i="7" s="1"/>
  <c r="A191" i="3"/>
  <c r="A191" i="7" s="1"/>
  <c r="O190" i="3"/>
  <c r="O190" i="7" s="1"/>
  <c r="N190" i="3"/>
  <c r="N190" i="7" s="1"/>
  <c r="L190" i="3"/>
  <c r="L190" i="7" s="1"/>
  <c r="K190" i="3"/>
  <c r="K190" i="7" s="1"/>
  <c r="J190" i="3"/>
  <c r="J190" i="7" s="1"/>
  <c r="I190" i="3"/>
  <c r="I190" i="7" s="1"/>
  <c r="H190" i="3"/>
  <c r="H190" i="7" s="1"/>
  <c r="G190" i="3"/>
  <c r="G190" i="7" s="1"/>
  <c r="F190" i="3"/>
  <c r="F190" i="7" s="1"/>
  <c r="E190" i="3"/>
  <c r="E190" i="7" s="1"/>
  <c r="D190" i="3"/>
  <c r="D190" i="7" s="1"/>
  <c r="C190" i="3"/>
  <c r="C190" i="7" s="1"/>
  <c r="A190" i="3"/>
  <c r="A190" i="7" s="1"/>
  <c r="O189" i="3"/>
  <c r="O189" i="7" s="1"/>
  <c r="N189" i="3"/>
  <c r="N189" i="7" s="1"/>
  <c r="L189" i="3"/>
  <c r="L189" i="7" s="1"/>
  <c r="K189" i="3"/>
  <c r="K189" i="7" s="1"/>
  <c r="J189" i="3"/>
  <c r="J189" i="7" s="1"/>
  <c r="I189" i="3"/>
  <c r="I189" i="7" s="1"/>
  <c r="H189" i="3"/>
  <c r="H189" i="7" s="1"/>
  <c r="G189" i="3"/>
  <c r="G189" i="7" s="1"/>
  <c r="F189" i="3"/>
  <c r="F189" i="7" s="1"/>
  <c r="E189" i="3"/>
  <c r="E189" i="7" s="1"/>
  <c r="D189" i="3"/>
  <c r="D189" i="7" s="1"/>
  <c r="C189" i="3"/>
  <c r="C189" i="7" s="1"/>
  <c r="A189" i="3"/>
  <c r="A189" i="7" s="1"/>
  <c r="O188" i="3"/>
  <c r="O188" i="7" s="1"/>
  <c r="N188" i="3"/>
  <c r="N188" i="7" s="1"/>
  <c r="L188" i="3"/>
  <c r="L188" i="7" s="1"/>
  <c r="K188" i="3"/>
  <c r="K188" i="7" s="1"/>
  <c r="J188" i="3"/>
  <c r="J188" i="7" s="1"/>
  <c r="I188" i="3"/>
  <c r="I188" i="7" s="1"/>
  <c r="H188" i="3"/>
  <c r="H188" i="7" s="1"/>
  <c r="G188" i="3"/>
  <c r="G188" i="7" s="1"/>
  <c r="F188" i="3"/>
  <c r="F188" i="7" s="1"/>
  <c r="E188" i="3"/>
  <c r="E188" i="7" s="1"/>
  <c r="D188" i="3"/>
  <c r="D188" i="7" s="1"/>
  <c r="C188" i="3"/>
  <c r="C188" i="7" s="1"/>
  <c r="A188" i="3"/>
  <c r="A188" i="7" s="1"/>
  <c r="O187" i="3"/>
  <c r="O187" i="7" s="1"/>
  <c r="L187" i="3"/>
  <c r="L187" i="7" s="1"/>
  <c r="K187" i="3"/>
  <c r="K187" i="7" s="1"/>
  <c r="J187" i="3"/>
  <c r="J187" i="7" s="1"/>
  <c r="I187" i="3"/>
  <c r="I187" i="7" s="1"/>
  <c r="H187" i="3"/>
  <c r="H187" i="7" s="1"/>
  <c r="G187" i="3"/>
  <c r="G187" i="7" s="1"/>
  <c r="F187" i="3"/>
  <c r="F187" i="7" s="1"/>
  <c r="E187" i="3"/>
  <c r="E187" i="7" s="1"/>
  <c r="D187" i="3"/>
  <c r="D187" i="7" s="1"/>
  <c r="C187" i="3"/>
  <c r="C187" i="7" s="1"/>
  <c r="A187" i="3"/>
  <c r="A187" i="7" s="1"/>
  <c r="O186" i="3"/>
  <c r="O186" i="7" s="1"/>
  <c r="L186" i="3"/>
  <c r="L186" i="7" s="1"/>
  <c r="K186" i="3"/>
  <c r="K186" i="7" s="1"/>
  <c r="J186" i="3"/>
  <c r="J186" i="7" s="1"/>
  <c r="I186" i="3"/>
  <c r="I186" i="7" s="1"/>
  <c r="H186" i="3"/>
  <c r="H186" i="7" s="1"/>
  <c r="G186" i="3"/>
  <c r="G186" i="7" s="1"/>
  <c r="F186" i="3"/>
  <c r="F186" i="7" s="1"/>
  <c r="E186" i="3"/>
  <c r="E186" i="7" s="1"/>
  <c r="D186" i="3"/>
  <c r="D186" i="7" s="1"/>
  <c r="C186" i="3"/>
  <c r="C186" i="7" s="1"/>
  <c r="A186" i="3"/>
  <c r="A186" i="7" s="1"/>
  <c r="O185" i="3"/>
  <c r="O185" i="7" s="1"/>
  <c r="L185" i="3"/>
  <c r="L185" i="7" s="1"/>
  <c r="K185" i="3"/>
  <c r="K185" i="7" s="1"/>
  <c r="J185" i="3"/>
  <c r="J185" i="7" s="1"/>
  <c r="I185" i="3"/>
  <c r="I185" i="7" s="1"/>
  <c r="H185" i="3"/>
  <c r="H185" i="7" s="1"/>
  <c r="G185" i="3"/>
  <c r="G185" i="7" s="1"/>
  <c r="F185" i="3"/>
  <c r="F185" i="7" s="1"/>
  <c r="E185" i="3"/>
  <c r="E185" i="7" s="1"/>
  <c r="D185" i="3"/>
  <c r="D185" i="7" s="1"/>
  <c r="C185" i="3"/>
  <c r="C185" i="7" s="1"/>
  <c r="A185" i="3"/>
  <c r="A185" i="7" s="1"/>
  <c r="O184" i="3"/>
  <c r="O184" i="7" s="1"/>
  <c r="L184" i="3"/>
  <c r="L184" i="7" s="1"/>
  <c r="K184" i="3"/>
  <c r="K184" i="7" s="1"/>
  <c r="J184" i="3"/>
  <c r="J184" i="7" s="1"/>
  <c r="I184" i="3"/>
  <c r="I184" i="7" s="1"/>
  <c r="H184" i="3"/>
  <c r="H184" i="7" s="1"/>
  <c r="G184" i="3"/>
  <c r="G184" i="7" s="1"/>
  <c r="F184" i="3"/>
  <c r="F184" i="7" s="1"/>
  <c r="E184" i="3"/>
  <c r="E184" i="7" s="1"/>
  <c r="D184" i="3"/>
  <c r="D184" i="7" s="1"/>
  <c r="C184" i="3"/>
  <c r="C184" i="7" s="1"/>
  <c r="A184" i="3"/>
  <c r="A184" i="7" s="1"/>
  <c r="O183" i="3"/>
  <c r="O183" i="7" s="1"/>
  <c r="L183" i="3"/>
  <c r="L183" i="7" s="1"/>
  <c r="K183" i="3"/>
  <c r="K183" i="7" s="1"/>
  <c r="J183" i="3"/>
  <c r="J183" i="7" s="1"/>
  <c r="I183" i="3"/>
  <c r="I183" i="7" s="1"/>
  <c r="H183" i="3"/>
  <c r="H183" i="7" s="1"/>
  <c r="G183" i="3"/>
  <c r="G183" i="7" s="1"/>
  <c r="F183" i="3"/>
  <c r="F183" i="7" s="1"/>
  <c r="E183" i="3"/>
  <c r="E183" i="7" s="1"/>
  <c r="D183" i="3"/>
  <c r="D183" i="7" s="1"/>
  <c r="C183" i="3"/>
  <c r="C183" i="7" s="1"/>
  <c r="A183" i="3"/>
  <c r="A183" i="7" s="1"/>
  <c r="O182" i="3"/>
  <c r="O182" i="7" s="1"/>
  <c r="L182" i="3"/>
  <c r="L182" i="7" s="1"/>
  <c r="K182" i="3"/>
  <c r="K182" i="7" s="1"/>
  <c r="J182" i="3"/>
  <c r="J182" i="7" s="1"/>
  <c r="I182" i="3"/>
  <c r="I182" i="7" s="1"/>
  <c r="H182" i="3"/>
  <c r="H182" i="7" s="1"/>
  <c r="G182" i="3"/>
  <c r="G182" i="7" s="1"/>
  <c r="F182" i="3"/>
  <c r="F182" i="7" s="1"/>
  <c r="E182" i="3"/>
  <c r="E182" i="7" s="1"/>
  <c r="D182" i="3"/>
  <c r="D182" i="7" s="1"/>
  <c r="C182" i="3"/>
  <c r="C182" i="7" s="1"/>
  <c r="A182" i="3"/>
  <c r="A182" i="7" s="1"/>
  <c r="O181" i="3"/>
  <c r="O181" i="7" s="1"/>
  <c r="L181" i="3"/>
  <c r="L181" i="7" s="1"/>
  <c r="K181" i="3"/>
  <c r="K181" i="7" s="1"/>
  <c r="J181" i="3"/>
  <c r="J181" i="7" s="1"/>
  <c r="I181" i="3"/>
  <c r="I181" i="7" s="1"/>
  <c r="H181" i="3"/>
  <c r="H181" i="7" s="1"/>
  <c r="G181" i="3"/>
  <c r="G181" i="7" s="1"/>
  <c r="F181" i="3"/>
  <c r="F181" i="7" s="1"/>
  <c r="E181" i="3"/>
  <c r="E181" i="7" s="1"/>
  <c r="D181" i="3"/>
  <c r="D181" i="7" s="1"/>
  <c r="C181" i="3"/>
  <c r="C181" i="7" s="1"/>
  <c r="A181" i="3"/>
  <c r="A181" i="7" s="1"/>
  <c r="O180" i="3"/>
  <c r="O180" i="7" s="1"/>
  <c r="L180" i="3"/>
  <c r="L180" i="7" s="1"/>
  <c r="K180" i="3"/>
  <c r="K180" i="7" s="1"/>
  <c r="J180" i="3"/>
  <c r="J180" i="7" s="1"/>
  <c r="I180" i="3"/>
  <c r="I180" i="7" s="1"/>
  <c r="H180" i="3"/>
  <c r="H180" i="7" s="1"/>
  <c r="G180" i="3"/>
  <c r="G180" i="7" s="1"/>
  <c r="F180" i="3"/>
  <c r="F180" i="7" s="1"/>
  <c r="E180" i="3"/>
  <c r="E180" i="7" s="1"/>
  <c r="D180" i="3"/>
  <c r="D180" i="7" s="1"/>
  <c r="C180" i="3"/>
  <c r="C180" i="7" s="1"/>
  <c r="A180" i="3"/>
  <c r="A180" i="7" s="1"/>
  <c r="O179" i="3"/>
  <c r="O179" i="7" s="1"/>
  <c r="L179" i="3"/>
  <c r="L179" i="7" s="1"/>
  <c r="K179" i="3"/>
  <c r="K179" i="7" s="1"/>
  <c r="J179" i="3"/>
  <c r="J179" i="7" s="1"/>
  <c r="I179" i="3"/>
  <c r="I179" i="7" s="1"/>
  <c r="H179" i="3"/>
  <c r="H179" i="7" s="1"/>
  <c r="G179" i="3"/>
  <c r="G179" i="7" s="1"/>
  <c r="F179" i="3"/>
  <c r="F179" i="7" s="1"/>
  <c r="E179" i="3"/>
  <c r="E179" i="7" s="1"/>
  <c r="D179" i="3"/>
  <c r="D179" i="7" s="1"/>
  <c r="C179" i="3"/>
  <c r="C179" i="7" s="1"/>
  <c r="A179" i="3"/>
  <c r="A179" i="7" s="1"/>
  <c r="O178" i="3"/>
  <c r="O178" i="7" s="1"/>
  <c r="L178" i="3"/>
  <c r="L178" i="7" s="1"/>
  <c r="K178" i="3"/>
  <c r="K178" i="7" s="1"/>
  <c r="J178" i="3"/>
  <c r="J178" i="7" s="1"/>
  <c r="I178" i="3"/>
  <c r="I178" i="7" s="1"/>
  <c r="H178" i="3"/>
  <c r="H178" i="7" s="1"/>
  <c r="G178" i="3"/>
  <c r="G178" i="7" s="1"/>
  <c r="F178" i="3"/>
  <c r="F178" i="7" s="1"/>
  <c r="E178" i="3"/>
  <c r="E178" i="7" s="1"/>
  <c r="D178" i="3"/>
  <c r="D178" i="7" s="1"/>
  <c r="C178" i="3"/>
  <c r="C178" i="7" s="1"/>
  <c r="A178" i="3"/>
  <c r="A178" i="7" s="1"/>
  <c r="O177" i="3"/>
  <c r="O177" i="7" s="1"/>
  <c r="L177" i="3"/>
  <c r="L177" i="7" s="1"/>
  <c r="K177" i="3"/>
  <c r="K177" i="7" s="1"/>
  <c r="J177" i="3"/>
  <c r="J177" i="7" s="1"/>
  <c r="I177" i="3"/>
  <c r="I177" i="7" s="1"/>
  <c r="H177" i="3"/>
  <c r="H177" i="7" s="1"/>
  <c r="G177" i="3"/>
  <c r="G177" i="7" s="1"/>
  <c r="F177" i="3"/>
  <c r="F177" i="7" s="1"/>
  <c r="E177" i="3"/>
  <c r="E177" i="7" s="1"/>
  <c r="D177" i="3"/>
  <c r="D177" i="7" s="1"/>
  <c r="C177" i="3"/>
  <c r="C177" i="7" s="1"/>
  <c r="A177" i="3"/>
  <c r="A177" i="7" s="1"/>
  <c r="O176" i="3"/>
  <c r="O176" i="7" s="1"/>
  <c r="L176" i="3"/>
  <c r="L176" i="7" s="1"/>
  <c r="K176" i="3"/>
  <c r="K176" i="7" s="1"/>
  <c r="J176" i="3"/>
  <c r="J176" i="7" s="1"/>
  <c r="I176" i="3"/>
  <c r="I176" i="7" s="1"/>
  <c r="H176" i="3"/>
  <c r="H176" i="7" s="1"/>
  <c r="G176" i="3"/>
  <c r="G176" i="7" s="1"/>
  <c r="F176" i="3"/>
  <c r="F176" i="7" s="1"/>
  <c r="E176" i="3"/>
  <c r="E176" i="7" s="1"/>
  <c r="D176" i="3"/>
  <c r="D176" i="7" s="1"/>
  <c r="C176" i="3"/>
  <c r="C176" i="7" s="1"/>
  <c r="A176" i="3"/>
  <c r="A176" i="7" s="1"/>
  <c r="O175" i="3"/>
  <c r="O175" i="7" s="1"/>
  <c r="L175" i="3"/>
  <c r="L175" i="7" s="1"/>
  <c r="K175" i="3"/>
  <c r="K175" i="7" s="1"/>
  <c r="J175" i="3"/>
  <c r="J175" i="7" s="1"/>
  <c r="I175" i="3"/>
  <c r="I175" i="7" s="1"/>
  <c r="H175" i="3"/>
  <c r="H175" i="7" s="1"/>
  <c r="G175" i="3"/>
  <c r="G175" i="7" s="1"/>
  <c r="F175" i="3"/>
  <c r="F175" i="7" s="1"/>
  <c r="E175" i="3"/>
  <c r="E175" i="7" s="1"/>
  <c r="D175" i="3"/>
  <c r="D175" i="7" s="1"/>
  <c r="C175" i="3"/>
  <c r="C175" i="7" s="1"/>
  <c r="A175" i="3"/>
  <c r="A175" i="7" s="1"/>
  <c r="O174" i="3"/>
  <c r="O174" i="7" s="1"/>
  <c r="L174" i="3"/>
  <c r="L174" i="7" s="1"/>
  <c r="K174" i="3"/>
  <c r="K174" i="7" s="1"/>
  <c r="J174" i="3"/>
  <c r="J174" i="7" s="1"/>
  <c r="I174" i="3"/>
  <c r="I174" i="7" s="1"/>
  <c r="H174" i="3"/>
  <c r="H174" i="7" s="1"/>
  <c r="G174" i="3"/>
  <c r="G174" i="7" s="1"/>
  <c r="F174" i="3"/>
  <c r="F174" i="7" s="1"/>
  <c r="E174" i="3"/>
  <c r="E174" i="7" s="1"/>
  <c r="D174" i="3"/>
  <c r="D174" i="7" s="1"/>
  <c r="C174" i="3"/>
  <c r="C174" i="7" s="1"/>
  <c r="A174" i="3"/>
  <c r="A174" i="7" s="1"/>
  <c r="O173" i="3"/>
  <c r="O173" i="7" s="1"/>
  <c r="L173" i="3"/>
  <c r="L173" i="7" s="1"/>
  <c r="K173" i="3"/>
  <c r="K173" i="7" s="1"/>
  <c r="J173" i="3"/>
  <c r="J173" i="7" s="1"/>
  <c r="I173" i="3"/>
  <c r="I173" i="7" s="1"/>
  <c r="H173" i="3"/>
  <c r="H173" i="7" s="1"/>
  <c r="G173" i="3"/>
  <c r="G173" i="7" s="1"/>
  <c r="F173" i="3"/>
  <c r="F173" i="7" s="1"/>
  <c r="E173" i="3"/>
  <c r="E173" i="7" s="1"/>
  <c r="D173" i="3"/>
  <c r="D173" i="7" s="1"/>
  <c r="C173" i="3"/>
  <c r="C173" i="7" s="1"/>
  <c r="A173" i="3"/>
  <c r="A173" i="7" s="1"/>
  <c r="O172" i="3"/>
  <c r="O172" i="7" s="1"/>
  <c r="L172" i="3"/>
  <c r="L172" i="7" s="1"/>
  <c r="K172" i="3"/>
  <c r="K172" i="7" s="1"/>
  <c r="J172" i="3"/>
  <c r="J172" i="7" s="1"/>
  <c r="I172" i="3"/>
  <c r="I172" i="7" s="1"/>
  <c r="H172" i="3"/>
  <c r="H172" i="7" s="1"/>
  <c r="G172" i="3"/>
  <c r="G172" i="7" s="1"/>
  <c r="F172" i="3"/>
  <c r="F172" i="7" s="1"/>
  <c r="E172" i="3"/>
  <c r="E172" i="7" s="1"/>
  <c r="D172" i="3"/>
  <c r="D172" i="7" s="1"/>
  <c r="C172" i="3"/>
  <c r="C172" i="7" s="1"/>
  <c r="A172" i="3"/>
  <c r="A172" i="7" s="1"/>
  <c r="O171" i="3"/>
  <c r="O171" i="7" s="1"/>
  <c r="L171" i="3"/>
  <c r="L171" i="7" s="1"/>
  <c r="K171" i="3"/>
  <c r="K171" i="7" s="1"/>
  <c r="J171" i="3"/>
  <c r="J171" i="7" s="1"/>
  <c r="I171" i="3"/>
  <c r="I171" i="7" s="1"/>
  <c r="H171" i="3"/>
  <c r="H171" i="7" s="1"/>
  <c r="G171" i="3"/>
  <c r="G171" i="7" s="1"/>
  <c r="F171" i="3"/>
  <c r="F171" i="7" s="1"/>
  <c r="E171" i="3"/>
  <c r="E171" i="7" s="1"/>
  <c r="D171" i="3"/>
  <c r="D171" i="7" s="1"/>
  <c r="C171" i="3"/>
  <c r="C171" i="7" s="1"/>
  <c r="A171" i="3"/>
  <c r="A171" i="7" s="1"/>
  <c r="O170" i="3"/>
  <c r="O170" i="7" s="1"/>
  <c r="L170" i="3"/>
  <c r="L170" i="7" s="1"/>
  <c r="K170" i="3"/>
  <c r="K170" i="7" s="1"/>
  <c r="J170" i="3"/>
  <c r="J170" i="7" s="1"/>
  <c r="I170" i="3"/>
  <c r="I170" i="7" s="1"/>
  <c r="H170" i="3"/>
  <c r="H170" i="7" s="1"/>
  <c r="G170" i="3"/>
  <c r="G170" i="7" s="1"/>
  <c r="F170" i="3"/>
  <c r="F170" i="7" s="1"/>
  <c r="E170" i="3"/>
  <c r="E170" i="7" s="1"/>
  <c r="D170" i="3"/>
  <c r="D170" i="7" s="1"/>
  <c r="C170" i="3"/>
  <c r="C170" i="7" s="1"/>
  <c r="A170" i="3"/>
  <c r="A170" i="7" s="1"/>
  <c r="O169" i="3"/>
  <c r="O169" i="7" s="1"/>
  <c r="L169" i="3"/>
  <c r="L169" i="7" s="1"/>
  <c r="K169" i="3"/>
  <c r="K169" i="7" s="1"/>
  <c r="J169" i="3"/>
  <c r="J169" i="7" s="1"/>
  <c r="I169" i="3"/>
  <c r="I169" i="7" s="1"/>
  <c r="H169" i="3"/>
  <c r="H169" i="7" s="1"/>
  <c r="G169" i="3"/>
  <c r="G169" i="7" s="1"/>
  <c r="F169" i="3"/>
  <c r="F169" i="7" s="1"/>
  <c r="E169" i="3"/>
  <c r="E169" i="7" s="1"/>
  <c r="D169" i="3"/>
  <c r="D169" i="7" s="1"/>
  <c r="C169" i="3"/>
  <c r="C169" i="7" s="1"/>
  <c r="A169" i="3"/>
  <c r="A169" i="7" s="1"/>
  <c r="O168" i="3"/>
  <c r="O168" i="7" s="1"/>
  <c r="L168" i="3"/>
  <c r="L168" i="7" s="1"/>
  <c r="K168" i="3"/>
  <c r="K168" i="7" s="1"/>
  <c r="J168" i="3"/>
  <c r="J168" i="7" s="1"/>
  <c r="I168" i="3"/>
  <c r="I168" i="7" s="1"/>
  <c r="H168" i="3"/>
  <c r="H168" i="7" s="1"/>
  <c r="G168" i="3"/>
  <c r="G168" i="7" s="1"/>
  <c r="F168" i="3"/>
  <c r="F168" i="7" s="1"/>
  <c r="E168" i="3"/>
  <c r="E168" i="7" s="1"/>
  <c r="D168" i="3"/>
  <c r="D168" i="7" s="1"/>
  <c r="C168" i="3"/>
  <c r="C168" i="7" s="1"/>
  <c r="A168" i="3"/>
  <c r="A168" i="7" s="1"/>
  <c r="O167" i="3"/>
  <c r="O167" i="7" s="1"/>
  <c r="L167" i="3"/>
  <c r="L167" i="7" s="1"/>
  <c r="K167" i="3"/>
  <c r="K167" i="7" s="1"/>
  <c r="J167" i="3"/>
  <c r="J167" i="7" s="1"/>
  <c r="I167" i="3"/>
  <c r="I167" i="7" s="1"/>
  <c r="H167" i="3"/>
  <c r="H167" i="7" s="1"/>
  <c r="G167" i="3"/>
  <c r="G167" i="7" s="1"/>
  <c r="F167" i="3"/>
  <c r="F167" i="7" s="1"/>
  <c r="E167" i="3"/>
  <c r="E167" i="7" s="1"/>
  <c r="D167" i="3"/>
  <c r="D167" i="7" s="1"/>
  <c r="C167" i="3"/>
  <c r="C167" i="7" s="1"/>
  <c r="A167" i="3"/>
  <c r="A167" i="7" s="1"/>
  <c r="O166" i="3"/>
  <c r="O166" i="7" s="1"/>
  <c r="L166" i="3"/>
  <c r="L166" i="7" s="1"/>
  <c r="K166" i="3"/>
  <c r="K166" i="7" s="1"/>
  <c r="J166" i="3"/>
  <c r="J166" i="7" s="1"/>
  <c r="I166" i="3"/>
  <c r="I166" i="7" s="1"/>
  <c r="H166" i="3"/>
  <c r="H166" i="7" s="1"/>
  <c r="G166" i="3"/>
  <c r="G166" i="7" s="1"/>
  <c r="F166" i="3"/>
  <c r="F166" i="7" s="1"/>
  <c r="E166" i="3"/>
  <c r="E166" i="7" s="1"/>
  <c r="D166" i="3"/>
  <c r="D166" i="7" s="1"/>
  <c r="C166" i="3"/>
  <c r="C166" i="7" s="1"/>
  <c r="A166" i="3"/>
  <c r="A166" i="7" s="1"/>
  <c r="O165" i="3"/>
  <c r="O165" i="7" s="1"/>
  <c r="L165" i="3"/>
  <c r="L165" i="7" s="1"/>
  <c r="K165" i="3"/>
  <c r="K165" i="7" s="1"/>
  <c r="J165" i="3"/>
  <c r="J165" i="7" s="1"/>
  <c r="I165" i="3"/>
  <c r="I165" i="7" s="1"/>
  <c r="H165" i="3"/>
  <c r="H165" i="7" s="1"/>
  <c r="G165" i="3"/>
  <c r="G165" i="7" s="1"/>
  <c r="F165" i="3"/>
  <c r="F165" i="7" s="1"/>
  <c r="E165" i="3"/>
  <c r="E165" i="7" s="1"/>
  <c r="D165" i="3"/>
  <c r="D165" i="7" s="1"/>
  <c r="C165" i="3"/>
  <c r="C165" i="7" s="1"/>
  <c r="A165" i="3"/>
  <c r="A165" i="7" s="1"/>
  <c r="O164" i="3"/>
  <c r="O164" i="7" s="1"/>
  <c r="L164" i="3"/>
  <c r="L164" i="7" s="1"/>
  <c r="K164" i="3"/>
  <c r="K164" i="7" s="1"/>
  <c r="J164" i="3"/>
  <c r="J164" i="7" s="1"/>
  <c r="I164" i="3"/>
  <c r="I164" i="7" s="1"/>
  <c r="H164" i="3"/>
  <c r="H164" i="7" s="1"/>
  <c r="G164" i="3"/>
  <c r="G164" i="7" s="1"/>
  <c r="F164" i="3"/>
  <c r="F164" i="7" s="1"/>
  <c r="E164" i="3"/>
  <c r="E164" i="7" s="1"/>
  <c r="D164" i="3"/>
  <c r="D164" i="7" s="1"/>
  <c r="C164" i="3"/>
  <c r="C164" i="7" s="1"/>
  <c r="A164" i="3"/>
  <c r="A164" i="7" s="1"/>
  <c r="O163" i="3"/>
  <c r="O163" i="7" s="1"/>
  <c r="L163" i="3"/>
  <c r="L163" i="7" s="1"/>
  <c r="K163" i="3"/>
  <c r="K163" i="7" s="1"/>
  <c r="J163" i="3"/>
  <c r="J163" i="7" s="1"/>
  <c r="I163" i="3"/>
  <c r="I163" i="7" s="1"/>
  <c r="H163" i="3"/>
  <c r="H163" i="7" s="1"/>
  <c r="G163" i="3"/>
  <c r="G163" i="7" s="1"/>
  <c r="F163" i="3"/>
  <c r="F163" i="7" s="1"/>
  <c r="E163" i="3"/>
  <c r="E163" i="7" s="1"/>
  <c r="D163" i="3"/>
  <c r="D163" i="7" s="1"/>
  <c r="C163" i="3"/>
  <c r="C163" i="7" s="1"/>
  <c r="A163" i="3"/>
  <c r="A163" i="7" s="1"/>
  <c r="O162" i="3"/>
  <c r="O162" i="7" s="1"/>
  <c r="N162" i="3"/>
  <c r="N162" i="7" s="1"/>
  <c r="L162" i="3"/>
  <c r="L162" i="7" s="1"/>
  <c r="K162" i="3"/>
  <c r="K162" i="7" s="1"/>
  <c r="J162" i="3"/>
  <c r="J162" i="7" s="1"/>
  <c r="I162" i="3"/>
  <c r="I162" i="7" s="1"/>
  <c r="H162" i="3"/>
  <c r="H162" i="7" s="1"/>
  <c r="G162" i="3"/>
  <c r="G162" i="7" s="1"/>
  <c r="F162" i="3"/>
  <c r="F162" i="7" s="1"/>
  <c r="E162" i="3"/>
  <c r="E162" i="7" s="1"/>
  <c r="D162" i="3"/>
  <c r="D162" i="7" s="1"/>
  <c r="C162" i="3"/>
  <c r="C162" i="7" s="1"/>
  <c r="A162" i="3"/>
  <c r="A162" i="7" s="1"/>
  <c r="O161" i="3"/>
  <c r="O161" i="7" s="1"/>
  <c r="N161" i="3"/>
  <c r="N161" i="7" s="1"/>
  <c r="L161" i="3"/>
  <c r="L161" i="7" s="1"/>
  <c r="K161" i="3"/>
  <c r="K161" i="7" s="1"/>
  <c r="J161" i="3"/>
  <c r="J161" i="7" s="1"/>
  <c r="I161" i="3"/>
  <c r="I161" i="7" s="1"/>
  <c r="H161" i="3"/>
  <c r="H161" i="7" s="1"/>
  <c r="G161" i="3"/>
  <c r="G161" i="7" s="1"/>
  <c r="F161" i="3"/>
  <c r="F161" i="7" s="1"/>
  <c r="E161" i="3"/>
  <c r="E161" i="7" s="1"/>
  <c r="D161" i="3"/>
  <c r="D161" i="7" s="1"/>
  <c r="C161" i="3"/>
  <c r="C161" i="7" s="1"/>
  <c r="A161" i="3"/>
  <c r="A161" i="7" s="1"/>
  <c r="N160" i="3"/>
  <c r="N160" i="7" s="1"/>
  <c r="L160" i="3"/>
  <c r="L160" i="7" s="1"/>
  <c r="K160" i="3"/>
  <c r="K160" i="7" s="1"/>
  <c r="J160" i="3"/>
  <c r="J160" i="7" s="1"/>
  <c r="I160" i="3"/>
  <c r="I160" i="7" s="1"/>
  <c r="H160" i="3"/>
  <c r="H160" i="7" s="1"/>
  <c r="G160" i="3"/>
  <c r="G160" i="7" s="1"/>
  <c r="F160" i="3"/>
  <c r="F160" i="7" s="1"/>
  <c r="E160" i="3"/>
  <c r="E160" i="7" s="1"/>
  <c r="D160" i="3"/>
  <c r="D160" i="7" s="1"/>
  <c r="C160" i="3"/>
  <c r="C160" i="7" s="1"/>
  <c r="A160" i="3"/>
  <c r="A160" i="7" s="1"/>
  <c r="N159" i="3"/>
  <c r="N159" i="7" s="1"/>
  <c r="L159" i="3"/>
  <c r="L159" i="7" s="1"/>
  <c r="K159" i="3"/>
  <c r="K159" i="7" s="1"/>
  <c r="J159" i="3"/>
  <c r="J159" i="7" s="1"/>
  <c r="I159" i="3"/>
  <c r="I159" i="7" s="1"/>
  <c r="H159" i="3"/>
  <c r="H159" i="7" s="1"/>
  <c r="G159" i="3"/>
  <c r="G159" i="7" s="1"/>
  <c r="F159" i="3"/>
  <c r="F159" i="7" s="1"/>
  <c r="E159" i="3"/>
  <c r="E159" i="7" s="1"/>
  <c r="D159" i="3"/>
  <c r="D159" i="7" s="1"/>
  <c r="C159" i="3"/>
  <c r="C159" i="7" s="1"/>
  <c r="A159" i="3"/>
  <c r="A159" i="7" s="1"/>
  <c r="O158" i="3"/>
  <c r="O158" i="7" s="1"/>
  <c r="N158" i="3"/>
  <c r="N158" i="7" s="1"/>
  <c r="L158" i="3"/>
  <c r="L158" i="7" s="1"/>
  <c r="K158" i="3"/>
  <c r="K158" i="7" s="1"/>
  <c r="J158" i="3"/>
  <c r="J158" i="7" s="1"/>
  <c r="I158" i="3"/>
  <c r="I158" i="7" s="1"/>
  <c r="H158" i="3"/>
  <c r="H158" i="7" s="1"/>
  <c r="G158" i="3"/>
  <c r="G158" i="7" s="1"/>
  <c r="F158" i="3"/>
  <c r="F158" i="7" s="1"/>
  <c r="E158" i="3"/>
  <c r="E158" i="7" s="1"/>
  <c r="D158" i="3"/>
  <c r="D158" i="7" s="1"/>
  <c r="C158" i="3"/>
  <c r="C158" i="7" s="1"/>
  <c r="A158" i="3"/>
  <c r="A158" i="7" s="1"/>
  <c r="O157" i="3"/>
  <c r="O157" i="7" s="1"/>
  <c r="N157" i="3"/>
  <c r="N157" i="7" s="1"/>
  <c r="L157" i="3"/>
  <c r="L157" i="7" s="1"/>
  <c r="K157" i="3"/>
  <c r="K157" i="7" s="1"/>
  <c r="J157" i="3"/>
  <c r="J157" i="7" s="1"/>
  <c r="I157" i="3"/>
  <c r="I157" i="7" s="1"/>
  <c r="H157" i="3"/>
  <c r="H157" i="7" s="1"/>
  <c r="G157" i="3"/>
  <c r="G157" i="7" s="1"/>
  <c r="F157" i="3"/>
  <c r="F157" i="7" s="1"/>
  <c r="E157" i="3"/>
  <c r="E157" i="7" s="1"/>
  <c r="D157" i="3"/>
  <c r="D157" i="7" s="1"/>
  <c r="C157" i="3"/>
  <c r="C157" i="7" s="1"/>
  <c r="A157" i="3"/>
  <c r="A157" i="7" s="1"/>
  <c r="O156" i="3"/>
  <c r="O156" i="7" s="1"/>
  <c r="N156" i="3"/>
  <c r="N156" i="7" s="1"/>
  <c r="L156" i="3"/>
  <c r="L156" i="7" s="1"/>
  <c r="K156" i="3"/>
  <c r="K156" i="7" s="1"/>
  <c r="J156" i="3"/>
  <c r="J156" i="7" s="1"/>
  <c r="I156" i="3"/>
  <c r="I156" i="7" s="1"/>
  <c r="H156" i="3"/>
  <c r="H156" i="7" s="1"/>
  <c r="G156" i="3"/>
  <c r="G156" i="7" s="1"/>
  <c r="F156" i="3"/>
  <c r="F156" i="7" s="1"/>
  <c r="E156" i="3"/>
  <c r="E156" i="7" s="1"/>
  <c r="D156" i="3"/>
  <c r="D156" i="7" s="1"/>
  <c r="C156" i="3"/>
  <c r="C156" i="7" s="1"/>
  <c r="A156" i="3"/>
  <c r="A156" i="7" s="1"/>
  <c r="O155" i="3"/>
  <c r="O155" i="7" s="1"/>
  <c r="N155" i="3"/>
  <c r="N155" i="7" s="1"/>
  <c r="L155" i="3"/>
  <c r="L155" i="7" s="1"/>
  <c r="K155" i="3"/>
  <c r="K155" i="7" s="1"/>
  <c r="J155" i="3"/>
  <c r="J155" i="7" s="1"/>
  <c r="I155" i="3"/>
  <c r="I155" i="7" s="1"/>
  <c r="H155" i="3"/>
  <c r="H155" i="7" s="1"/>
  <c r="G155" i="3"/>
  <c r="G155" i="7" s="1"/>
  <c r="F155" i="3"/>
  <c r="F155" i="7" s="1"/>
  <c r="E155" i="3"/>
  <c r="E155" i="7" s="1"/>
  <c r="D155" i="3"/>
  <c r="D155" i="7" s="1"/>
  <c r="C155" i="3"/>
  <c r="C155" i="7" s="1"/>
  <c r="A155" i="3"/>
  <c r="A155" i="7" s="1"/>
  <c r="O154" i="3"/>
  <c r="O154" i="7" s="1"/>
  <c r="N154" i="3"/>
  <c r="N154" i="7" s="1"/>
  <c r="L154" i="3"/>
  <c r="L154" i="7" s="1"/>
  <c r="K154" i="3"/>
  <c r="K154" i="7" s="1"/>
  <c r="J154" i="3"/>
  <c r="J154" i="7" s="1"/>
  <c r="I154" i="3"/>
  <c r="I154" i="7" s="1"/>
  <c r="H154" i="3"/>
  <c r="H154" i="7" s="1"/>
  <c r="G154" i="3"/>
  <c r="G154" i="7" s="1"/>
  <c r="F154" i="3"/>
  <c r="F154" i="7" s="1"/>
  <c r="E154" i="3"/>
  <c r="E154" i="7" s="1"/>
  <c r="D154" i="3"/>
  <c r="D154" i="7" s="1"/>
  <c r="C154" i="3"/>
  <c r="C154" i="7" s="1"/>
  <c r="A154" i="3"/>
  <c r="A154" i="7" s="1"/>
  <c r="O153" i="3"/>
  <c r="O153" i="7" s="1"/>
  <c r="N153" i="3"/>
  <c r="N153" i="7" s="1"/>
  <c r="L153" i="3"/>
  <c r="L153" i="7" s="1"/>
  <c r="K153" i="3"/>
  <c r="K153" i="7" s="1"/>
  <c r="J153" i="3"/>
  <c r="J153" i="7" s="1"/>
  <c r="I153" i="3"/>
  <c r="I153" i="7" s="1"/>
  <c r="H153" i="3"/>
  <c r="H153" i="7" s="1"/>
  <c r="G153" i="3"/>
  <c r="G153" i="7" s="1"/>
  <c r="F153" i="3"/>
  <c r="F153" i="7" s="1"/>
  <c r="E153" i="3"/>
  <c r="E153" i="7" s="1"/>
  <c r="D153" i="3"/>
  <c r="D153" i="7" s="1"/>
  <c r="C153" i="3"/>
  <c r="C153" i="7" s="1"/>
  <c r="A153" i="3"/>
  <c r="A153" i="7" s="1"/>
  <c r="O152" i="3"/>
  <c r="O152" i="7" s="1"/>
  <c r="N152" i="3"/>
  <c r="N152" i="7" s="1"/>
  <c r="L152" i="3"/>
  <c r="L152" i="7" s="1"/>
  <c r="K152" i="3"/>
  <c r="K152" i="7" s="1"/>
  <c r="J152" i="3"/>
  <c r="J152" i="7" s="1"/>
  <c r="I152" i="3"/>
  <c r="I152" i="7" s="1"/>
  <c r="H152" i="3"/>
  <c r="H152" i="7" s="1"/>
  <c r="G152" i="3"/>
  <c r="G152" i="7" s="1"/>
  <c r="F152" i="3"/>
  <c r="F152" i="7" s="1"/>
  <c r="E152" i="3"/>
  <c r="E152" i="7" s="1"/>
  <c r="D152" i="3"/>
  <c r="D152" i="7" s="1"/>
  <c r="C152" i="3"/>
  <c r="C152" i="7" s="1"/>
  <c r="A152" i="3"/>
  <c r="A152" i="7" s="1"/>
  <c r="O151" i="3"/>
  <c r="O151" i="7" s="1"/>
  <c r="N151" i="3"/>
  <c r="N151" i="7" s="1"/>
  <c r="L151" i="3"/>
  <c r="L151" i="7" s="1"/>
  <c r="K151" i="3"/>
  <c r="K151" i="7" s="1"/>
  <c r="J151" i="3"/>
  <c r="J151" i="7" s="1"/>
  <c r="I151" i="3"/>
  <c r="I151" i="7" s="1"/>
  <c r="H151" i="3"/>
  <c r="H151" i="7" s="1"/>
  <c r="G151" i="3"/>
  <c r="G151" i="7" s="1"/>
  <c r="F151" i="3"/>
  <c r="F151" i="7" s="1"/>
  <c r="E151" i="3"/>
  <c r="E151" i="7" s="1"/>
  <c r="D151" i="3"/>
  <c r="D151" i="7" s="1"/>
  <c r="C151" i="3"/>
  <c r="C151" i="7" s="1"/>
  <c r="A151" i="3"/>
  <c r="A151" i="7" s="1"/>
  <c r="O150" i="3"/>
  <c r="O150" i="7" s="1"/>
  <c r="N150" i="3"/>
  <c r="N150" i="7" s="1"/>
  <c r="L150" i="3"/>
  <c r="L150" i="7" s="1"/>
  <c r="K150" i="3"/>
  <c r="K150" i="7" s="1"/>
  <c r="J150" i="3"/>
  <c r="J150" i="7" s="1"/>
  <c r="I150" i="3"/>
  <c r="I150" i="7" s="1"/>
  <c r="H150" i="3"/>
  <c r="H150" i="7" s="1"/>
  <c r="G150" i="3"/>
  <c r="G150" i="7" s="1"/>
  <c r="F150" i="3"/>
  <c r="F150" i="7" s="1"/>
  <c r="E150" i="3"/>
  <c r="E150" i="7" s="1"/>
  <c r="D150" i="3"/>
  <c r="D150" i="7" s="1"/>
  <c r="C150" i="3"/>
  <c r="C150" i="7" s="1"/>
  <c r="A150" i="3"/>
  <c r="A150" i="7" s="1"/>
  <c r="O149" i="3"/>
  <c r="O149" i="7" s="1"/>
  <c r="N149" i="3"/>
  <c r="N149" i="7" s="1"/>
  <c r="L149" i="3"/>
  <c r="L149" i="7" s="1"/>
  <c r="K149" i="3"/>
  <c r="K149" i="7" s="1"/>
  <c r="J149" i="3"/>
  <c r="J149" i="7" s="1"/>
  <c r="I149" i="3"/>
  <c r="I149" i="7" s="1"/>
  <c r="H149" i="3"/>
  <c r="H149" i="7" s="1"/>
  <c r="G149" i="3"/>
  <c r="G149" i="7" s="1"/>
  <c r="F149" i="3"/>
  <c r="F149" i="7" s="1"/>
  <c r="E149" i="3"/>
  <c r="E149" i="7" s="1"/>
  <c r="D149" i="3"/>
  <c r="D149" i="7" s="1"/>
  <c r="C149" i="3"/>
  <c r="C149" i="7" s="1"/>
  <c r="A149" i="3"/>
  <c r="A149" i="7" s="1"/>
  <c r="O148" i="3"/>
  <c r="O148" i="7" s="1"/>
  <c r="N148" i="3"/>
  <c r="N148" i="7" s="1"/>
  <c r="L148" i="3"/>
  <c r="L148" i="7" s="1"/>
  <c r="K148" i="3"/>
  <c r="K148" i="7" s="1"/>
  <c r="J148" i="3"/>
  <c r="J148" i="7" s="1"/>
  <c r="I148" i="3"/>
  <c r="I148" i="7" s="1"/>
  <c r="H148" i="3"/>
  <c r="H148" i="7" s="1"/>
  <c r="G148" i="3"/>
  <c r="G148" i="7" s="1"/>
  <c r="F148" i="3"/>
  <c r="F148" i="7" s="1"/>
  <c r="E148" i="3"/>
  <c r="E148" i="7" s="1"/>
  <c r="D148" i="3"/>
  <c r="D148" i="7" s="1"/>
  <c r="C148" i="3"/>
  <c r="C148" i="7" s="1"/>
  <c r="A148" i="3"/>
  <c r="A148" i="7" s="1"/>
  <c r="O147" i="3"/>
  <c r="O147" i="7" s="1"/>
  <c r="N147" i="3"/>
  <c r="N147" i="7" s="1"/>
  <c r="L147" i="3"/>
  <c r="L147" i="7" s="1"/>
  <c r="K147" i="3"/>
  <c r="K147" i="7" s="1"/>
  <c r="J147" i="3"/>
  <c r="J147" i="7" s="1"/>
  <c r="I147" i="3"/>
  <c r="I147" i="7" s="1"/>
  <c r="H147" i="3"/>
  <c r="H147" i="7" s="1"/>
  <c r="G147" i="3"/>
  <c r="G147" i="7" s="1"/>
  <c r="F147" i="3"/>
  <c r="F147" i="7" s="1"/>
  <c r="E147" i="3"/>
  <c r="E147" i="7" s="1"/>
  <c r="D147" i="3"/>
  <c r="D147" i="7" s="1"/>
  <c r="C147" i="3"/>
  <c r="C147" i="7" s="1"/>
  <c r="A147" i="3"/>
  <c r="A147" i="7" s="1"/>
  <c r="O146" i="3"/>
  <c r="O146" i="7" s="1"/>
  <c r="N146" i="3"/>
  <c r="N146" i="7" s="1"/>
  <c r="L146" i="3"/>
  <c r="L146" i="7" s="1"/>
  <c r="K146" i="3"/>
  <c r="K146" i="7" s="1"/>
  <c r="J146" i="3"/>
  <c r="J146" i="7" s="1"/>
  <c r="I146" i="3"/>
  <c r="I146" i="7" s="1"/>
  <c r="H146" i="3"/>
  <c r="H146" i="7" s="1"/>
  <c r="G146" i="3"/>
  <c r="G146" i="7" s="1"/>
  <c r="F146" i="3"/>
  <c r="F146" i="7" s="1"/>
  <c r="E146" i="3"/>
  <c r="E146" i="7" s="1"/>
  <c r="D146" i="3"/>
  <c r="D146" i="7" s="1"/>
  <c r="C146" i="3"/>
  <c r="C146" i="7" s="1"/>
  <c r="A146" i="3"/>
  <c r="A146" i="7" s="1"/>
  <c r="O145" i="3"/>
  <c r="O145" i="7" s="1"/>
  <c r="N145" i="3"/>
  <c r="N145" i="7" s="1"/>
  <c r="L145" i="3"/>
  <c r="L145" i="7" s="1"/>
  <c r="K145" i="3"/>
  <c r="K145" i="7" s="1"/>
  <c r="J145" i="3"/>
  <c r="J145" i="7" s="1"/>
  <c r="I145" i="3"/>
  <c r="I145" i="7" s="1"/>
  <c r="H145" i="3"/>
  <c r="H145" i="7" s="1"/>
  <c r="G145" i="3"/>
  <c r="G145" i="7" s="1"/>
  <c r="F145" i="3"/>
  <c r="F145" i="7" s="1"/>
  <c r="E145" i="3"/>
  <c r="E145" i="7" s="1"/>
  <c r="D145" i="3"/>
  <c r="D145" i="7" s="1"/>
  <c r="C145" i="3"/>
  <c r="C145" i="7" s="1"/>
  <c r="A145" i="3"/>
  <c r="A145" i="7" s="1"/>
  <c r="O144" i="3"/>
  <c r="O144" i="7" s="1"/>
  <c r="N144" i="3"/>
  <c r="N144" i="7" s="1"/>
  <c r="L144" i="3"/>
  <c r="L144" i="7" s="1"/>
  <c r="K144" i="3"/>
  <c r="K144" i="7" s="1"/>
  <c r="J144" i="3"/>
  <c r="J144" i="7" s="1"/>
  <c r="I144" i="3"/>
  <c r="I144" i="7" s="1"/>
  <c r="H144" i="3"/>
  <c r="H144" i="7" s="1"/>
  <c r="G144" i="3"/>
  <c r="G144" i="7" s="1"/>
  <c r="F144" i="3"/>
  <c r="F144" i="7" s="1"/>
  <c r="E144" i="3"/>
  <c r="E144" i="7" s="1"/>
  <c r="D144" i="3"/>
  <c r="D144" i="7" s="1"/>
  <c r="C144" i="3"/>
  <c r="C144" i="7" s="1"/>
  <c r="A144" i="3"/>
  <c r="A144" i="7" s="1"/>
  <c r="O143" i="3"/>
  <c r="O143" i="7" s="1"/>
  <c r="N143" i="3"/>
  <c r="N143" i="7" s="1"/>
  <c r="L143" i="3"/>
  <c r="L143" i="7" s="1"/>
  <c r="K143" i="3"/>
  <c r="K143" i="7" s="1"/>
  <c r="J143" i="3"/>
  <c r="J143" i="7" s="1"/>
  <c r="I143" i="3"/>
  <c r="I143" i="7" s="1"/>
  <c r="H143" i="3"/>
  <c r="H143" i="7" s="1"/>
  <c r="G143" i="3"/>
  <c r="G143" i="7" s="1"/>
  <c r="F143" i="3"/>
  <c r="F143" i="7" s="1"/>
  <c r="E143" i="3"/>
  <c r="E143" i="7" s="1"/>
  <c r="D143" i="3"/>
  <c r="D143" i="7" s="1"/>
  <c r="C143" i="3"/>
  <c r="C143" i="7" s="1"/>
  <c r="A143" i="3"/>
  <c r="A143" i="7" s="1"/>
  <c r="O142" i="3"/>
  <c r="O142" i="7" s="1"/>
  <c r="N142" i="3"/>
  <c r="N142" i="7" s="1"/>
  <c r="L142" i="3"/>
  <c r="L142" i="7" s="1"/>
  <c r="K142" i="3"/>
  <c r="K142" i="7" s="1"/>
  <c r="J142" i="3"/>
  <c r="J142" i="7" s="1"/>
  <c r="I142" i="3"/>
  <c r="I142" i="7" s="1"/>
  <c r="H142" i="3"/>
  <c r="H142" i="7" s="1"/>
  <c r="G142" i="3"/>
  <c r="G142" i="7" s="1"/>
  <c r="F142" i="3"/>
  <c r="F142" i="7" s="1"/>
  <c r="E142" i="3"/>
  <c r="E142" i="7" s="1"/>
  <c r="D142" i="3"/>
  <c r="D142" i="7" s="1"/>
  <c r="C142" i="3"/>
  <c r="C142" i="7" s="1"/>
  <c r="A142" i="3"/>
  <c r="A142" i="7" s="1"/>
  <c r="O141" i="3"/>
  <c r="O141" i="7" s="1"/>
  <c r="N141" i="3"/>
  <c r="N141" i="7" s="1"/>
  <c r="L141" i="3"/>
  <c r="L141" i="7" s="1"/>
  <c r="K141" i="3"/>
  <c r="K141" i="7" s="1"/>
  <c r="J141" i="3"/>
  <c r="J141" i="7" s="1"/>
  <c r="I141" i="3"/>
  <c r="I141" i="7" s="1"/>
  <c r="H141" i="3"/>
  <c r="H141" i="7" s="1"/>
  <c r="G141" i="3"/>
  <c r="G141" i="7" s="1"/>
  <c r="F141" i="3"/>
  <c r="F141" i="7" s="1"/>
  <c r="E141" i="3"/>
  <c r="E141" i="7" s="1"/>
  <c r="D141" i="3"/>
  <c r="D141" i="7" s="1"/>
  <c r="C141" i="3"/>
  <c r="C141" i="7" s="1"/>
  <c r="A141" i="3"/>
  <c r="A141" i="7" s="1"/>
  <c r="O140" i="3"/>
  <c r="O140" i="7" s="1"/>
  <c r="N140" i="3"/>
  <c r="N140" i="7" s="1"/>
  <c r="L140" i="3"/>
  <c r="L140" i="7" s="1"/>
  <c r="K140" i="3"/>
  <c r="K140" i="7" s="1"/>
  <c r="J140" i="3"/>
  <c r="J140" i="7" s="1"/>
  <c r="I140" i="3"/>
  <c r="I140" i="7" s="1"/>
  <c r="H140" i="3"/>
  <c r="H140" i="7" s="1"/>
  <c r="G140" i="3"/>
  <c r="G140" i="7" s="1"/>
  <c r="F140" i="3"/>
  <c r="F140" i="7" s="1"/>
  <c r="E140" i="3"/>
  <c r="E140" i="7" s="1"/>
  <c r="D140" i="3"/>
  <c r="D140" i="7" s="1"/>
  <c r="C140" i="3"/>
  <c r="C140" i="7" s="1"/>
  <c r="A140" i="3"/>
  <c r="A140" i="7" s="1"/>
  <c r="O139" i="3"/>
  <c r="O139" i="7" s="1"/>
  <c r="N139" i="3"/>
  <c r="N139" i="7" s="1"/>
  <c r="L139" i="3"/>
  <c r="L139" i="7" s="1"/>
  <c r="K139" i="3"/>
  <c r="K139" i="7" s="1"/>
  <c r="J139" i="3"/>
  <c r="J139" i="7" s="1"/>
  <c r="I139" i="3"/>
  <c r="I139" i="7" s="1"/>
  <c r="H139" i="3"/>
  <c r="H139" i="7" s="1"/>
  <c r="G139" i="3"/>
  <c r="G139" i="7" s="1"/>
  <c r="F139" i="3"/>
  <c r="F139" i="7" s="1"/>
  <c r="E139" i="3"/>
  <c r="E139" i="7" s="1"/>
  <c r="D139" i="3"/>
  <c r="D139" i="7" s="1"/>
  <c r="C139" i="3"/>
  <c r="C139" i="7" s="1"/>
  <c r="A139" i="3"/>
  <c r="A139" i="7" s="1"/>
  <c r="O138" i="3"/>
  <c r="O138" i="7" s="1"/>
  <c r="N138" i="3"/>
  <c r="N138" i="7" s="1"/>
  <c r="L138" i="3"/>
  <c r="L138" i="7" s="1"/>
  <c r="K138" i="3"/>
  <c r="K138" i="7" s="1"/>
  <c r="J138" i="3"/>
  <c r="J138" i="7" s="1"/>
  <c r="I138" i="3"/>
  <c r="I138" i="7" s="1"/>
  <c r="H138" i="3"/>
  <c r="H138" i="7" s="1"/>
  <c r="G138" i="3"/>
  <c r="G138" i="7" s="1"/>
  <c r="F138" i="3"/>
  <c r="F138" i="7" s="1"/>
  <c r="E138" i="3"/>
  <c r="E138" i="7" s="1"/>
  <c r="D138" i="3"/>
  <c r="D138" i="7" s="1"/>
  <c r="C138" i="3"/>
  <c r="C138" i="7" s="1"/>
  <c r="A138" i="3"/>
  <c r="A138" i="7" s="1"/>
  <c r="O137" i="3"/>
  <c r="O137" i="7" s="1"/>
  <c r="N137" i="3"/>
  <c r="N137" i="7" s="1"/>
  <c r="L137" i="3"/>
  <c r="L137" i="7" s="1"/>
  <c r="K137" i="3"/>
  <c r="K137" i="7" s="1"/>
  <c r="J137" i="3"/>
  <c r="J137" i="7" s="1"/>
  <c r="I137" i="3"/>
  <c r="I137" i="7" s="1"/>
  <c r="H137" i="3"/>
  <c r="H137" i="7" s="1"/>
  <c r="G137" i="3"/>
  <c r="G137" i="7" s="1"/>
  <c r="F137" i="3"/>
  <c r="F137" i="7" s="1"/>
  <c r="E137" i="3"/>
  <c r="E137" i="7" s="1"/>
  <c r="D137" i="3"/>
  <c r="D137" i="7" s="1"/>
  <c r="C137" i="3"/>
  <c r="C137" i="7" s="1"/>
  <c r="A137" i="3"/>
  <c r="A137" i="7" s="1"/>
  <c r="O136" i="3"/>
  <c r="O136" i="7" s="1"/>
  <c r="N136" i="3"/>
  <c r="N136" i="7" s="1"/>
  <c r="L136" i="3"/>
  <c r="L136" i="7" s="1"/>
  <c r="K136" i="3"/>
  <c r="K136" i="7" s="1"/>
  <c r="J136" i="3"/>
  <c r="J136" i="7" s="1"/>
  <c r="I136" i="3"/>
  <c r="I136" i="7" s="1"/>
  <c r="H136" i="3"/>
  <c r="H136" i="7" s="1"/>
  <c r="G136" i="3"/>
  <c r="G136" i="7" s="1"/>
  <c r="F136" i="3"/>
  <c r="F136" i="7" s="1"/>
  <c r="E136" i="3"/>
  <c r="E136" i="7" s="1"/>
  <c r="D136" i="3"/>
  <c r="D136" i="7" s="1"/>
  <c r="C136" i="3"/>
  <c r="C136" i="7" s="1"/>
  <c r="A136" i="3"/>
  <c r="A136" i="7" s="1"/>
  <c r="O135" i="3"/>
  <c r="O135" i="7" s="1"/>
  <c r="N135" i="3"/>
  <c r="N135" i="7" s="1"/>
  <c r="L135" i="3"/>
  <c r="L135" i="7" s="1"/>
  <c r="K135" i="3"/>
  <c r="K135" i="7" s="1"/>
  <c r="J135" i="3"/>
  <c r="J135" i="7" s="1"/>
  <c r="I135" i="3"/>
  <c r="I135" i="7" s="1"/>
  <c r="H135" i="3"/>
  <c r="H135" i="7" s="1"/>
  <c r="G135" i="3"/>
  <c r="G135" i="7" s="1"/>
  <c r="F135" i="3"/>
  <c r="F135" i="7" s="1"/>
  <c r="E135" i="3"/>
  <c r="E135" i="7" s="1"/>
  <c r="D135" i="3"/>
  <c r="D135" i="7" s="1"/>
  <c r="C135" i="3"/>
  <c r="C135" i="7" s="1"/>
  <c r="A135" i="3"/>
  <c r="A135" i="7" s="1"/>
  <c r="O134" i="3"/>
  <c r="O134" i="7" s="1"/>
  <c r="N134" i="3"/>
  <c r="N134" i="7" s="1"/>
  <c r="L134" i="3"/>
  <c r="L134" i="7" s="1"/>
  <c r="K134" i="3"/>
  <c r="K134" i="7" s="1"/>
  <c r="J134" i="3"/>
  <c r="J134" i="7" s="1"/>
  <c r="I134" i="3"/>
  <c r="I134" i="7" s="1"/>
  <c r="H134" i="3"/>
  <c r="H134" i="7" s="1"/>
  <c r="G134" i="3"/>
  <c r="G134" i="7" s="1"/>
  <c r="F134" i="3"/>
  <c r="F134" i="7" s="1"/>
  <c r="E134" i="3"/>
  <c r="E134" i="7" s="1"/>
  <c r="D134" i="3"/>
  <c r="D134" i="7" s="1"/>
  <c r="C134" i="3"/>
  <c r="C134" i="7" s="1"/>
  <c r="A134" i="3"/>
  <c r="A134" i="7" s="1"/>
  <c r="O133" i="3"/>
  <c r="O133" i="7" s="1"/>
  <c r="N133" i="3"/>
  <c r="N133" i="7" s="1"/>
  <c r="L133" i="3"/>
  <c r="L133" i="7" s="1"/>
  <c r="K133" i="3"/>
  <c r="K133" i="7" s="1"/>
  <c r="J133" i="3"/>
  <c r="J133" i="7" s="1"/>
  <c r="I133" i="3"/>
  <c r="I133" i="7" s="1"/>
  <c r="H133" i="3"/>
  <c r="H133" i="7" s="1"/>
  <c r="G133" i="3"/>
  <c r="G133" i="7" s="1"/>
  <c r="F133" i="3"/>
  <c r="F133" i="7" s="1"/>
  <c r="E133" i="3"/>
  <c r="E133" i="7" s="1"/>
  <c r="D133" i="3"/>
  <c r="D133" i="7" s="1"/>
  <c r="C133" i="3"/>
  <c r="C133" i="7" s="1"/>
  <c r="A133" i="3"/>
  <c r="A133" i="7" s="1"/>
  <c r="O132" i="3"/>
  <c r="O132" i="7" s="1"/>
  <c r="N132" i="3"/>
  <c r="N132" i="7" s="1"/>
  <c r="L132" i="3"/>
  <c r="L132" i="7" s="1"/>
  <c r="K132" i="3"/>
  <c r="K132" i="7" s="1"/>
  <c r="J132" i="3"/>
  <c r="J132" i="7" s="1"/>
  <c r="I132" i="3"/>
  <c r="I132" i="7" s="1"/>
  <c r="H132" i="3"/>
  <c r="H132" i="7" s="1"/>
  <c r="G132" i="3"/>
  <c r="G132" i="7" s="1"/>
  <c r="F132" i="3"/>
  <c r="F132" i="7" s="1"/>
  <c r="E132" i="3"/>
  <c r="E132" i="7" s="1"/>
  <c r="D132" i="3"/>
  <c r="D132" i="7" s="1"/>
  <c r="C132" i="3"/>
  <c r="C132" i="7" s="1"/>
  <c r="A132" i="3"/>
  <c r="A132" i="7" s="1"/>
  <c r="O131" i="3"/>
  <c r="O131" i="7" s="1"/>
  <c r="N131" i="3"/>
  <c r="N131" i="7" s="1"/>
  <c r="L131" i="3"/>
  <c r="L131" i="7" s="1"/>
  <c r="K131" i="3"/>
  <c r="K131" i="7" s="1"/>
  <c r="J131" i="3"/>
  <c r="J131" i="7" s="1"/>
  <c r="I131" i="3"/>
  <c r="I131" i="7" s="1"/>
  <c r="H131" i="3"/>
  <c r="H131" i="7" s="1"/>
  <c r="G131" i="3"/>
  <c r="G131" i="7" s="1"/>
  <c r="F131" i="3"/>
  <c r="F131" i="7" s="1"/>
  <c r="E131" i="3"/>
  <c r="E131" i="7" s="1"/>
  <c r="D131" i="3"/>
  <c r="D131" i="7" s="1"/>
  <c r="C131" i="3"/>
  <c r="C131" i="7" s="1"/>
  <c r="A131" i="3"/>
  <c r="A131" i="7" s="1"/>
  <c r="O130" i="3"/>
  <c r="O130" i="7" s="1"/>
  <c r="N130" i="3"/>
  <c r="N130" i="7" s="1"/>
  <c r="L130" i="3"/>
  <c r="L130" i="7" s="1"/>
  <c r="K130" i="3"/>
  <c r="K130" i="7" s="1"/>
  <c r="J130" i="3"/>
  <c r="J130" i="7" s="1"/>
  <c r="I130" i="3"/>
  <c r="I130" i="7" s="1"/>
  <c r="H130" i="3"/>
  <c r="H130" i="7" s="1"/>
  <c r="G130" i="3"/>
  <c r="G130" i="7" s="1"/>
  <c r="F130" i="3"/>
  <c r="F130" i="7" s="1"/>
  <c r="E130" i="3"/>
  <c r="E130" i="7" s="1"/>
  <c r="D130" i="3"/>
  <c r="D130" i="7" s="1"/>
  <c r="C130" i="3"/>
  <c r="C130" i="7" s="1"/>
  <c r="A130" i="3"/>
  <c r="A130" i="7" s="1"/>
  <c r="O129" i="3"/>
  <c r="O129" i="7" s="1"/>
  <c r="N129" i="3"/>
  <c r="N129" i="7" s="1"/>
  <c r="L129" i="3"/>
  <c r="L129" i="7" s="1"/>
  <c r="K129" i="3"/>
  <c r="K129" i="7" s="1"/>
  <c r="J129" i="3"/>
  <c r="J129" i="7" s="1"/>
  <c r="I129" i="3"/>
  <c r="I129" i="7" s="1"/>
  <c r="H129" i="3"/>
  <c r="H129" i="7" s="1"/>
  <c r="G129" i="3"/>
  <c r="G129" i="7" s="1"/>
  <c r="F129" i="3"/>
  <c r="F129" i="7" s="1"/>
  <c r="E129" i="3"/>
  <c r="E129" i="7" s="1"/>
  <c r="D129" i="3"/>
  <c r="D129" i="7" s="1"/>
  <c r="C129" i="3"/>
  <c r="C129" i="7" s="1"/>
  <c r="A129" i="3"/>
  <c r="A129" i="7" s="1"/>
  <c r="O128" i="3"/>
  <c r="O128" i="7" s="1"/>
  <c r="N128" i="3"/>
  <c r="N128" i="7" s="1"/>
  <c r="L128" i="3"/>
  <c r="L128" i="7" s="1"/>
  <c r="K128" i="3"/>
  <c r="K128" i="7" s="1"/>
  <c r="J128" i="3"/>
  <c r="J128" i="7" s="1"/>
  <c r="I128" i="3"/>
  <c r="I128" i="7" s="1"/>
  <c r="H128" i="3"/>
  <c r="H128" i="7" s="1"/>
  <c r="G128" i="3"/>
  <c r="G128" i="7" s="1"/>
  <c r="F128" i="3"/>
  <c r="F128" i="7" s="1"/>
  <c r="E128" i="3"/>
  <c r="E128" i="7" s="1"/>
  <c r="D128" i="3"/>
  <c r="D128" i="7" s="1"/>
  <c r="C128" i="3"/>
  <c r="C128" i="7" s="1"/>
  <c r="A128" i="3"/>
  <c r="A128" i="7" s="1"/>
  <c r="O127" i="3"/>
  <c r="O127" i="7" s="1"/>
  <c r="N127" i="3"/>
  <c r="N127" i="7" s="1"/>
  <c r="L127" i="3"/>
  <c r="L127" i="7" s="1"/>
  <c r="K127" i="3"/>
  <c r="K127" i="7" s="1"/>
  <c r="J127" i="3"/>
  <c r="J127" i="7" s="1"/>
  <c r="I127" i="3"/>
  <c r="I127" i="7" s="1"/>
  <c r="H127" i="3"/>
  <c r="H127" i="7" s="1"/>
  <c r="G127" i="3"/>
  <c r="G127" i="7" s="1"/>
  <c r="F127" i="3"/>
  <c r="F127" i="7" s="1"/>
  <c r="E127" i="3"/>
  <c r="E127" i="7" s="1"/>
  <c r="D127" i="3"/>
  <c r="D127" i="7" s="1"/>
  <c r="C127" i="3"/>
  <c r="C127" i="7" s="1"/>
  <c r="A127" i="3"/>
  <c r="A127" i="7" s="1"/>
  <c r="O126" i="3"/>
  <c r="O126" i="7" s="1"/>
  <c r="N126" i="3"/>
  <c r="N126" i="7" s="1"/>
  <c r="L126" i="3"/>
  <c r="L126" i="7" s="1"/>
  <c r="K126" i="3"/>
  <c r="K126" i="7" s="1"/>
  <c r="J126" i="3"/>
  <c r="J126" i="7" s="1"/>
  <c r="I126" i="3"/>
  <c r="I126" i="7" s="1"/>
  <c r="H126" i="3"/>
  <c r="H126" i="7" s="1"/>
  <c r="G126" i="3"/>
  <c r="G126" i="7" s="1"/>
  <c r="F126" i="3"/>
  <c r="F126" i="7" s="1"/>
  <c r="E126" i="3"/>
  <c r="E126" i="7" s="1"/>
  <c r="D126" i="3"/>
  <c r="D126" i="7" s="1"/>
  <c r="C126" i="3"/>
  <c r="C126" i="7" s="1"/>
  <c r="A126" i="3"/>
  <c r="A126" i="7" s="1"/>
  <c r="O125" i="3"/>
  <c r="O125" i="7" s="1"/>
  <c r="N125" i="3"/>
  <c r="N125" i="7" s="1"/>
  <c r="L125" i="3"/>
  <c r="L125" i="7" s="1"/>
  <c r="K125" i="3"/>
  <c r="K125" i="7" s="1"/>
  <c r="J125" i="3"/>
  <c r="J125" i="7" s="1"/>
  <c r="I125" i="3"/>
  <c r="I125" i="7" s="1"/>
  <c r="H125" i="3"/>
  <c r="H125" i="7" s="1"/>
  <c r="G125" i="3"/>
  <c r="G125" i="7" s="1"/>
  <c r="F125" i="3"/>
  <c r="F125" i="7" s="1"/>
  <c r="E125" i="3"/>
  <c r="E125" i="7" s="1"/>
  <c r="D125" i="3"/>
  <c r="D125" i="7" s="1"/>
  <c r="C125" i="3"/>
  <c r="C125" i="7" s="1"/>
  <c r="A125" i="3"/>
  <c r="A125" i="7" s="1"/>
  <c r="O124" i="3"/>
  <c r="O124" i="7" s="1"/>
  <c r="N124" i="3"/>
  <c r="N124" i="7" s="1"/>
  <c r="L124" i="3"/>
  <c r="L124" i="7" s="1"/>
  <c r="K124" i="3"/>
  <c r="K124" i="7" s="1"/>
  <c r="J124" i="3"/>
  <c r="J124" i="7" s="1"/>
  <c r="I124" i="3"/>
  <c r="I124" i="7" s="1"/>
  <c r="H124" i="3"/>
  <c r="H124" i="7" s="1"/>
  <c r="G124" i="3"/>
  <c r="G124" i="7" s="1"/>
  <c r="F124" i="3"/>
  <c r="F124" i="7" s="1"/>
  <c r="E124" i="3"/>
  <c r="E124" i="7" s="1"/>
  <c r="D124" i="3"/>
  <c r="D124" i="7" s="1"/>
  <c r="C124" i="3"/>
  <c r="C124" i="7" s="1"/>
  <c r="A124" i="3"/>
  <c r="A124" i="7" s="1"/>
  <c r="O123" i="3"/>
  <c r="O123" i="7" s="1"/>
  <c r="N123" i="3"/>
  <c r="N123" i="7" s="1"/>
  <c r="L123" i="3"/>
  <c r="L123" i="7" s="1"/>
  <c r="K123" i="3"/>
  <c r="K123" i="7" s="1"/>
  <c r="J123" i="3"/>
  <c r="J123" i="7" s="1"/>
  <c r="I123" i="3"/>
  <c r="I123" i="7" s="1"/>
  <c r="H123" i="3"/>
  <c r="H123" i="7" s="1"/>
  <c r="G123" i="3"/>
  <c r="G123" i="7" s="1"/>
  <c r="F123" i="3"/>
  <c r="F123" i="7" s="1"/>
  <c r="E123" i="3"/>
  <c r="E123" i="7" s="1"/>
  <c r="D123" i="3"/>
  <c r="D123" i="7" s="1"/>
  <c r="C123" i="3"/>
  <c r="C123" i="7" s="1"/>
  <c r="A123" i="3"/>
  <c r="A123" i="7" s="1"/>
  <c r="O122" i="3"/>
  <c r="O122" i="7" s="1"/>
  <c r="N122" i="3"/>
  <c r="N122" i="7" s="1"/>
  <c r="L122" i="3"/>
  <c r="L122" i="7" s="1"/>
  <c r="K122" i="3"/>
  <c r="K122" i="7" s="1"/>
  <c r="J122" i="3"/>
  <c r="J122" i="7" s="1"/>
  <c r="I122" i="3"/>
  <c r="I122" i="7" s="1"/>
  <c r="H122" i="3"/>
  <c r="H122" i="7" s="1"/>
  <c r="G122" i="3"/>
  <c r="G122" i="7" s="1"/>
  <c r="F122" i="3"/>
  <c r="F122" i="7" s="1"/>
  <c r="E122" i="3"/>
  <c r="E122" i="7" s="1"/>
  <c r="D122" i="3"/>
  <c r="D122" i="7" s="1"/>
  <c r="C122" i="3"/>
  <c r="C122" i="7" s="1"/>
  <c r="A122" i="3"/>
  <c r="A122" i="7" s="1"/>
  <c r="O121" i="3"/>
  <c r="O121" i="7" s="1"/>
  <c r="N121" i="3"/>
  <c r="N121" i="7" s="1"/>
  <c r="L121" i="3"/>
  <c r="L121" i="7" s="1"/>
  <c r="K121" i="3"/>
  <c r="K121" i="7" s="1"/>
  <c r="J121" i="3"/>
  <c r="J121" i="7" s="1"/>
  <c r="I121" i="3"/>
  <c r="I121" i="7" s="1"/>
  <c r="H121" i="3"/>
  <c r="H121" i="7" s="1"/>
  <c r="G121" i="3"/>
  <c r="G121" i="7" s="1"/>
  <c r="F121" i="3"/>
  <c r="F121" i="7" s="1"/>
  <c r="E121" i="3"/>
  <c r="E121" i="7" s="1"/>
  <c r="D121" i="3"/>
  <c r="D121" i="7" s="1"/>
  <c r="C121" i="3"/>
  <c r="C121" i="7" s="1"/>
  <c r="A121" i="3"/>
  <c r="A121" i="7" s="1"/>
  <c r="O120" i="3"/>
  <c r="O120" i="7" s="1"/>
  <c r="N120" i="3"/>
  <c r="N120" i="7" s="1"/>
  <c r="L120" i="3"/>
  <c r="L120" i="7" s="1"/>
  <c r="K120" i="3"/>
  <c r="K120" i="7" s="1"/>
  <c r="J120" i="3"/>
  <c r="J120" i="7" s="1"/>
  <c r="I120" i="3"/>
  <c r="I120" i="7" s="1"/>
  <c r="H120" i="3"/>
  <c r="H120" i="7" s="1"/>
  <c r="G120" i="3"/>
  <c r="G120" i="7" s="1"/>
  <c r="F120" i="3"/>
  <c r="F120" i="7" s="1"/>
  <c r="E120" i="3"/>
  <c r="E120" i="7" s="1"/>
  <c r="D120" i="3"/>
  <c r="D120" i="7" s="1"/>
  <c r="C120" i="3"/>
  <c r="C120" i="7" s="1"/>
  <c r="A120" i="3"/>
  <c r="A120" i="7" s="1"/>
  <c r="O119" i="3"/>
  <c r="O119" i="7" s="1"/>
  <c r="N119" i="3"/>
  <c r="N119" i="7" s="1"/>
  <c r="L119" i="3"/>
  <c r="L119" i="7" s="1"/>
  <c r="K119" i="3"/>
  <c r="K119" i="7" s="1"/>
  <c r="J119" i="3"/>
  <c r="J119" i="7" s="1"/>
  <c r="I119" i="3"/>
  <c r="I119" i="7" s="1"/>
  <c r="H119" i="3"/>
  <c r="H119" i="7" s="1"/>
  <c r="G119" i="3"/>
  <c r="G119" i="7" s="1"/>
  <c r="F119" i="3"/>
  <c r="F119" i="7" s="1"/>
  <c r="E119" i="3"/>
  <c r="E119" i="7" s="1"/>
  <c r="D119" i="3"/>
  <c r="D119" i="7" s="1"/>
  <c r="C119" i="3"/>
  <c r="C119" i="7" s="1"/>
  <c r="A119" i="3"/>
  <c r="A119" i="7" s="1"/>
  <c r="O118" i="3"/>
  <c r="O118" i="7" s="1"/>
  <c r="N118" i="3"/>
  <c r="N118" i="7" s="1"/>
  <c r="L118" i="3"/>
  <c r="L118" i="7" s="1"/>
  <c r="K118" i="3"/>
  <c r="K118" i="7" s="1"/>
  <c r="J118" i="3"/>
  <c r="J118" i="7" s="1"/>
  <c r="I118" i="3"/>
  <c r="I118" i="7" s="1"/>
  <c r="H118" i="3"/>
  <c r="H118" i="7" s="1"/>
  <c r="G118" i="3"/>
  <c r="G118" i="7" s="1"/>
  <c r="F118" i="3"/>
  <c r="F118" i="7" s="1"/>
  <c r="E118" i="3"/>
  <c r="E118" i="7" s="1"/>
  <c r="D118" i="3"/>
  <c r="D118" i="7" s="1"/>
  <c r="C118" i="3"/>
  <c r="C118" i="7" s="1"/>
  <c r="A118" i="3"/>
  <c r="A118" i="7" s="1"/>
  <c r="O117" i="3"/>
  <c r="O117" i="7" s="1"/>
  <c r="N117" i="3"/>
  <c r="N117" i="7" s="1"/>
  <c r="L117" i="3"/>
  <c r="L117" i="7" s="1"/>
  <c r="K117" i="3"/>
  <c r="K117" i="7" s="1"/>
  <c r="J117" i="3"/>
  <c r="J117" i="7" s="1"/>
  <c r="I117" i="3"/>
  <c r="I117" i="7" s="1"/>
  <c r="H117" i="3"/>
  <c r="H117" i="7" s="1"/>
  <c r="G117" i="3"/>
  <c r="G117" i="7" s="1"/>
  <c r="F117" i="3"/>
  <c r="F117" i="7" s="1"/>
  <c r="E117" i="3"/>
  <c r="E117" i="7" s="1"/>
  <c r="D117" i="3"/>
  <c r="D117" i="7" s="1"/>
  <c r="C117" i="3"/>
  <c r="C117" i="7" s="1"/>
  <c r="A117" i="3"/>
  <c r="A117" i="7" s="1"/>
  <c r="O116" i="3"/>
  <c r="O116" i="7" s="1"/>
  <c r="N116" i="3"/>
  <c r="N116" i="7" s="1"/>
  <c r="L116" i="3"/>
  <c r="L116" i="7" s="1"/>
  <c r="K116" i="3"/>
  <c r="K116" i="7" s="1"/>
  <c r="J116" i="3"/>
  <c r="J116" i="7" s="1"/>
  <c r="I116" i="3"/>
  <c r="I116" i="7" s="1"/>
  <c r="H116" i="3"/>
  <c r="H116" i="7" s="1"/>
  <c r="G116" i="3"/>
  <c r="G116" i="7" s="1"/>
  <c r="F116" i="3"/>
  <c r="F116" i="7" s="1"/>
  <c r="E116" i="3"/>
  <c r="E116" i="7" s="1"/>
  <c r="D116" i="3"/>
  <c r="D116" i="7" s="1"/>
  <c r="C116" i="3"/>
  <c r="C116" i="7" s="1"/>
  <c r="A116" i="3"/>
  <c r="A116" i="7" s="1"/>
  <c r="O115" i="3"/>
  <c r="O115" i="7" s="1"/>
  <c r="N115" i="3"/>
  <c r="N115" i="7" s="1"/>
  <c r="L115" i="3"/>
  <c r="L115" i="7" s="1"/>
  <c r="K115" i="3"/>
  <c r="K115" i="7" s="1"/>
  <c r="J115" i="3"/>
  <c r="J115" i="7" s="1"/>
  <c r="I115" i="3"/>
  <c r="I115" i="7" s="1"/>
  <c r="H115" i="3"/>
  <c r="H115" i="7" s="1"/>
  <c r="G115" i="3"/>
  <c r="G115" i="7" s="1"/>
  <c r="F115" i="3"/>
  <c r="F115" i="7" s="1"/>
  <c r="E115" i="3"/>
  <c r="E115" i="7" s="1"/>
  <c r="D115" i="3"/>
  <c r="D115" i="7" s="1"/>
  <c r="C115" i="3"/>
  <c r="C115" i="7" s="1"/>
  <c r="A115" i="3"/>
  <c r="A115" i="7" s="1"/>
  <c r="O114" i="3"/>
  <c r="O114" i="7" s="1"/>
  <c r="N114" i="3"/>
  <c r="N114" i="7" s="1"/>
  <c r="L114" i="3"/>
  <c r="L114" i="7" s="1"/>
  <c r="K114" i="3"/>
  <c r="K114" i="7" s="1"/>
  <c r="J114" i="3"/>
  <c r="J114" i="7" s="1"/>
  <c r="I114" i="3"/>
  <c r="I114" i="7" s="1"/>
  <c r="H114" i="3"/>
  <c r="H114" i="7" s="1"/>
  <c r="G114" i="3"/>
  <c r="G114" i="7" s="1"/>
  <c r="F114" i="3"/>
  <c r="F114" i="7" s="1"/>
  <c r="E114" i="3"/>
  <c r="E114" i="7" s="1"/>
  <c r="D114" i="3"/>
  <c r="D114" i="7" s="1"/>
  <c r="C114" i="3"/>
  <c r="C114" i="7" s="1"/>
  <c r="A114" i="3"/>
  <c r="A114" i="7" s="1"/>
  <c r="O113" i="3"/>
  <c r="O113" i="7" s="1"/>
  <c r="N113" i="3"/>
  <c r="N113" i="7" s="1"/>
  <c r="L113" i="3"/>
  <c r="L113" i="7" s="1"/>
  <c r="K113" i="3"/>
  <c r="K113" i="7" s="1"/>
  <c r="J113" i="3"/>
  <c r="J113" i="7" s="1"/>
  <c r="I113" i="3"/>
  <c r="I113" i="7" s="1"/>
  <c r="H113" i="3"/>
  <c r="H113" i="7" s="1"/>
  <c r="G113" i="3"/>
  <c r="G113" i="7" s="1"/>
  <c r="F113" i="3"/>
  <c r="F113" i="7" s="1"/>
  <c r="E113" i="3"/>
  <c r="E113" i="7" s="1"/>
  <c r="D113" i="3"/>
  <c r="D113" i="7" s="1"/>
  <c r="C113" i="3"/>
  <c r="C113" i="7" s="1"/>
  <c r="A113" i="3"/>
  <c r="A113" i="7" s="1"/>
  <c r="O112" i="3"/>
  <c r="O112" i="7" s="1"/>
  <c r="N112" i="3"/>
  <c r="N112" i="7" s="1"/>
  <c r="L112" i="3"/>
  <c r="L112" i="7" s="1"/>
  <c r="K112" i="3"/>
  <c r="K112" i="7" s="1"/>
  <c r="J112" i="3"/>
  <c r="J112" i="7" s="1"/>
  <c r="I112" i="3"/>
  <c r="I112" i="7" s="1"/>
  <c r="H112" i="3"/>
  <c r="H112" i="7" s="1"/>
  <c r="G112" i="3"/>
  <c r="G112" i="7" s="1"/>
  <c r="F112" i="3"/>
  <c r="F112" i="7" s="1"/>
  <c r="E112" i="3"/>
  <c r="E112" i="7" s="1"/>
  <c r="D112" i="3"/>
  <c r="D112" i="7" s="1"/>
  <c r="C112" i="3"/>
  <c r="C112" i="7" s="1"/>
  <c r="A112" i="3"/>
  <c r="A112" i="7" s="1"/>
  <c r="O111" i="3"/>
  <c r="O111" i="7" s="1"/>
  <c r="N111" i="3"/>
  <c r="N111" i="7" s="1"/>
  <c r="L111" i="3"/>
  <c r="L111" i="7" s="1"/>
  <c r="K111" i="3"/>
  <c r="K111" i="7" s="1"/>
  <c r="J111" i="3"/>
  <c r="J111" i="7" s="1"/>
  <c r="I111" i="3"/>
  <c r="I111" i="7" s="1"/>
  <c r="H111" i="3"/>
  <c r="H111" i="7" s="1"/>
  <c r="G111" i="3"/>
  <c r="G111" i="7" s="1"/>
  <c r="F111" i="3"/>
  <c r="F111" i="7" s="1"/>
  <c r="E111" i="3"/>
  <c r="E111" i="7" s="1"/>
  <c r="D111" i="3"/>
  <c r="D111" i="7" s="1"/>
  <c r="C111" i="3"/>
  <c r="C111" i="7" s="1"/>
  <c r="A111" i="3"/>
  <c r="A111" i="7" s="1"/>
  <c r="O110" i="3"/>
  <c r="O110" i="7" s="1"/>
  <c r="N110" i="3"/>
  <c r="N110" i="7" s="1"/>
  <c r="L110" i="3"/>
  <c r="L110" i="7" s="1"/>
  <c r="K110" i="3"/>
  <c r="K110" i="7" s="1"/>
  <c r="J110" i="3"/>
  <c r="J110" i="7" s="1"/>
  <c r="I110" i="3"/>
  <c r="I110" i="7" s="1"/>
  <c r="H110" i="3"/>
  <c r="H110" i="7" s="1"/>
  <c r="G110" i="3"/>
  <c r="G110" i="7" s="1"/>
  <c r="F110" i="3"/>
  <c r="F110" i="7" s="1"/>
  <c r="E110" i="3"/>
  <c r="E110" i="7" s="1"/>
  <c r="D110" i="3"/>
  <c r="D110" i="7" s="1"/>
  <c r="C110" i="3"/>
  <c r="C110" i="7" s="1"/>
  <c r="A110" i="3"/>
  <c r="A110" i="7" s="1"/>
  <c r="O109" i="3"/>
  <c r="O109" i="7" s="1"/>
  <c r="N109" i="3"/>
  <c r="N109" i="7" s="1"/>
  <c r="L109" i="3"/>
  <c r="L109" i="7" s="1"/>
  <c r="K109" i="3"/>
  <c r="K109" i="7" s="1"/>
  <c r="J109" i="3"/>
  <c r="J109" i="7" s="1"/>
  <c r="I109" i="3"/>
  <c r="I109" i="7" s="1"/>
  <c r="H109" i="3"/>
  <c r="H109" i="7" s="1"/>
  <c r="G109" i="3"/>
  <c r="G109" i="7" s="1"/>
  <c r="F109" i="3"/>
  <c r="F109" i="7" s="1"/>
  <c r="E109" i="3"/>
  <c r="E109" i="7" s="1"/>
  <c r="D109" i="3"/>
  <c r="D109" i="7" s="1"/>
  <c r="C109" i="3"/>
  <c r="C109" i="7" s="1"/>
  <c r="A109" i="3"/>
  <c r="A109" i="7" s="1"/>
  <c r="O108" i="3"/>
  <c r="O108" i="7" s="1"/>
  <c r="N108" i="3"/>
  <c r="N108" i="7" s="1"/>
  <c r="L108" i="3"/>
  <c r="L108" i="7" s="1"/>
  <c r="K108" i="3"/>
  <c r="K108" i="7" s="1"/>
  <c r="J108" i="3"/>
  <c r="J108" i="7" s="1"/>
  <c r="I108" i="3"/>
  <c r="I108" i="7" s="1"/>
  <c r="H108" i="3"/>
  <c r="H108" i="7" s="1"/>
  <c r="G108" i="3"/>
  <c r="G108" i="7" s="1"/>
  <c r="F108" i="3"/>
  <c r="F108" i="7" s="1"/>
  <c r="E108" i="3"/>
  <c r="E108" i="7" s="1"/>
  <c r="D108" i="3"/>
  <c r="D108" i="7" s="1"/>
  <c r="C108" i="3"/>
  <c r="C108" i="7" s="1"/>
  <c r="A108" i="3"/>
  <c r="A108" i="7" s="1"/>
  <c r="O107" i="3"/>
  <c r="O107" i="7" s="1"/>
  <c r="N107" i="3"/>
  <c r="N107" i="7" s="1"/>
  <c r="L107" i="3"/>
  <c r="L107" i="7" s="1"/>
  <c r="K107" i="3"/>
  <c r="K107" i="7" s="1"/>
  <c r="J107" i="3"/>
  <c r="J107" i="7" s="1"/>
  <c r="I107" i="3"/>
  <c r="I107" i="7" s="1"/>
  <c r="H107" i="3"/>
  <c r="H107" i="7" s="1"/>
  <c r="G107" i="3"/>
  <c r="G107" i="7" s="1"/>
  <c r="F107" i="3"/>
  <c r="F107" i="7" s="1"/>
  <c r="E107" i="3"/>
  <c r="E107" i="7" s="1"/>
  <c r="D107" i="3"/>
  <c r="D107" i="7" s="1"/>
  <c r="C107" i="3"/>
  <c r="C107" i="7" s="1"/>
  <c r="A107" i="3"/>
  <c r="A107" i="7" s="1"/>
  <c r="O106" i="3"/>
  <c r="O106" i="7" s="1"/>
  <c r="N106" i="3"/>
  <c r="N106" i="7" s="1"/>
  <c r="L106" i="3"/>
  <c r="L106" i="7" s="1"/>
  <c r="K106" i="3"/>
  <c r="K106" i="7" s="1"/>
  <c r="J106" i="3"/>
  <c r="J106" i="7" s="1"/>
  <c r="I106" i="3"/>
  <c r="I106" i="7" s="1"/>
  <c r="H106" i="3"/>
  <c r="H106" i="7" s="1"/>
  <c r="G106" i="3"/>
  <c r="G106" i="7" s="1"/>
  <c r="F106" i="3"/>
  <c r="F106" i="7" s="1"/>
  <c r="E106" i="3"/>
  <c r="E106" i="7" s="1"/>
  <c r="D106" i="3"/>
  <c r="D106" i="7" s="1"/>
  <c r="C106" i="3"/>
  <c r="C106" i="7" s="1"/>
  <c r="A106" i="3"/>
  <c r="A106" i="7" s="1"/>
  <c r="O105" i="3"/>
  <c r="O105" i="7" s="1"/>
  <c r="N105" i="3"/>
  <c r="N105" i="7" s="1"/>
  <c r="L105" i="3"/>
  <c r="L105" i="7" s="1"/>
  <c r="K105" i="3"/>
  <c r="K105" i="7" s="1"/>
  <c r="J105" i="3"/>
  <c r="J105" i="7" s="1"/>
  <c r="I105" i="3"/>
  <c r="I105" i="7" s="1"/>
  <c r="H105" i="3"/>
  <c r="H105" i="7" s="1"/>
  <c r="G105" i="3"/>
  <c r="G105" i="7" s="1"/>
  <c r="F105" i="3"/>
  <c r="F105" i="7" s="1"/>
  <c r="E105" i="3"/>
  <c r="E105" i="7" s="1"/>
  <c r="D105" i="3"/>
  <c r="D105" i="7" s="1"/>
  <c r="C105" i="3"/>
  <c r="C105" i="7" s="1"/>
  <c r="A105" i="3"/>
  <c r="A105" i="7" s="1"/>
  <c r="O104" i="3"/>
  <c r="O104" i="7" s="1"/>
  <c r="N104" i="3"/>
  <c r="N104" i="7" s="1"/>
  <c r="L104" i="3"/>
  <c r="L104" i="7" s="1"/>
  <c r="K104" i="3"/>
  <c r="K104" i="7" s="1"/>
  <c r="J104" i="3"/>
  <c r="J104" i="7" s="1"/>
  <c r="I104" i="3"/>
  <c r="I104" i="7" s="1"/>
  <c r="H104" i="3"/>
  <c r="H104" i="7" s="1"/>
  <c r="G104" i="3"/>
  <c r="G104" i="7" s="1"/>
  <c r="F104" i="3"/>
  <c r="F104" i="7" s="1"/>
  <c r="E104" i="3"/>
  <c r="E104" i="7" s="1"/>
  <c r="D104" i="3"/>
  <c r="D104" i="7" s="1"/>
  <c r="C104" i="3"/>
  <c r="C104" i="7" s="1"/>
  <c r="A104" i="3"/>
  <c r="A104" i="7" s="1"/>
  <c r="O103" i="3"/>
  <c r="O103" i="7" s="1"/>
  <c r="N103" i="3"/>
  <c r="N103" i="7" s="1"/>
  <c r="L103" i="3"/>
  <c r="L103" i="7" s="1"/>
  <c r="K103" i="3"/>
  <c r="K103" i="7" s="1"/>
  <c r="J103" i="3"/>
  <c r="J103" i="7" s="1"/>
  <c r="I103" i="3"/>
  <c r="I103" i="7" s="1"/>
  <c r="H103" i="3"/>
  <c r="H103" i="7" s="1"/>
  <c r="G103" i="3"/>
  <c r="G103" i="7" s="1"/>
  <c r="F103" i="3"/>
  <c r="F103" i="7" s="1"/>
  <c r="E103" i="3"/>
  <c r="E103" i="7" s="1"/>
  <c r="D103" i="3"/>
  <c r="D103" i="7" s="1"/>
  <c r="C103" i="3"/>
  <c r="C103" i="7" s="1"/>
  <c r="A103" i="3"/>
  <c r="A103" i="7" s="1"/>
  <c r="O102" i="3"/>
  <c r="O102" i="7" s="1"/>
  <c r="N102" i="3"/>
  <c r="N102" i="7" s="1"/>
  <c r="L102" i="3"/>
  <c r="L102" i="7" s="1"/>
  <c r="K102" i="3"/>
  <c r="K102" i="7" s="1"/>
  <c r="J102" i="3"/>
  <c r="J102" i="7" s="1"/>
  <c r="I102" i="3"/>
  <c r="I102" i="7" s="1"/>
  <c r="H102" i="3"/>
  <c r="H102" i="7" s="1"/>
  <c r="G102" i="3"/>
  <c r="G102" i="7" s="1"/>
  <c r="F102" i="3"/>
  <c r="F102" i="7" s="1"/>
  <c r="E102" i="3"/>
  <c r="E102" i="7" s="1"/>
  <c r="D102" i="3"/>
  <c r="D102" i="7" s="1"/>
  <c r="C102" i="3"/>
  <c r="C102" i="7" s="1"/>
  <c r="A102" i="3"/>
  <c r="A102" i="7" s="1"/>
  <c r="O101" i="3"/>
  <c r="O101" i="7" s="1"/>
  <c r="N101" i="3"/>
  <c r="N101" i="7" s="1"/>
  <c r="L101" i="3"/>
  <c r="L101" i="7" s="1"/>
  <c r="K101" i="3"/>
  <c r="K101" i="7" s="1"/>
  <c r="J101" i="3"/>
  <c r="J101" i="7" s="1"/>
  <c r="I101" i="3"/>
  <c r="I101" i="7" s="1"/>
  <c r="H101" i="3"/>
  <c r="H101" i="7" s="1"/>
  <c r="G101" i="3"/>
  <c r="G101" i="7" s="1"/>
  <c r="F101" i="3"/>
  <c r="F101" i="7" s="1"/>
  <c r="E101" i="3"/>
  <c r="E101" i="7" s="1"/>
  <c r="D101" i="3"/>
  <c r="D101" i="7" s="1"/>
  <c r="C101" i="3"/>
  <c r="C101" i="7" s="1"/>
  <c r="A101" i="3"/>
  <c r="A101" i="7" s="1"/>
  <c r="O100" i="3"/>
  <c r="O100" i="7" s="1"/>
  <c r="N100" i="3"/>
  <c r="N100" i="7" s="1"/>
  <c r="L100" i="3"/>
  <c r="L100" i="7" s="1"/>
  <c r="K100" i="3"/>
  <c r="K100" i="7" s="1"/>
  <c r="J100" i="3"/>
  <c r="J100" i="7" s="1"/>
  <c r="I100" i="3"/>
  <c r="I100" i="7" s="1"/>
  <c r="H100" i="3"/>
  <c r="H100" i="7" s="1"/>
  <c r="G100" i="3"/>
  <c r="G100" i="7" s="1"/>
  <c r="F100" i="3"/>
  <c r="F100" i="7" s="1"/>
  <c r="E100" i="3"/>
  <c r="E100" i="7" s="1"/>
  <c r="D100" i="3"/>
  <c r="D100" i="7" s="1"/>
  <c r="C100" i="3"/>
  <c r="C100" i="7" s="1"/>
  <c r="A100" i="3"/>
  <c r="A100" i="7" s="1"/>
  <c r="O99" i="3"/>
  <c r="O99" i="7" s="1"/>
  <c r="N99" i="3"/>
  <c r="N99" i="7" s="1"/>
  <c r="L99" i="3"/>
  <c r="L99" i="7" s="1"/>
  <c r="K99" i="3"/>
  <c r="K99" i="7" s="1"/>
  <c r="J99" i="3"/>
  <c r="J99" i="7" s="1"/>
  <c r="I99" i="3"/>
  <c r="I99" i="7" s="1"/>
  <c r="H99" i="3"/>
  <c r="H99" i="7" s="1"/>
  <c r="G99" i="3"/>
  <c r="G99" i="7" s="1"/>
  <c r="F99" i="3"/>
  <c r="F99" i="7" s="1"/>
  <c r="E99" i="3"/>
  <c r="E99" i="7" s="1"/>
  <c r="D99" i="3"/>
  <c r="D99" i="7" s="1"/>
  <c r="C99" i="3"/>
  <c r="C99" i="7" s="1"/>
  <c r="A99" i="3"/>
  <c r="A99" i="7" s="1"/>
  <c r="O98" i="3"/>
  <c r="O98" i="7" s="1"/>
  <c r="N98" i="3"/>
  <c r="N98" i="7" s="1"/>
  <c r="L98" i="3"/>
  <c r="L98" i="7" s="1"/>
  <c r="K98" i="3"/>
  <c r="K98" i="7" s="1"/>
  <c r="J98" i="3"/>
  <c r="J98" i="7" s="1"/>
  <c r="I98" i="3"/>
  <c r="I98" i="7" s="1"/>
  <c r="H98" i="3"/>
  <c r="H98" i="7" s="1"/>
  <c r="G98" i="3"/>
  <c r="G98" i="7" s="1"/>
  <c r="F98" i="3"/>
  <c r="F98" i="7" s="1"/>
  <c r="E98" i="3"/>
  <c r="E98" i="7" s="1"/>
  <c r="D98" i="3"/>
  <c r="D98" i="7" s="1"/>
  <c r="C98" i="3"/>
  <c r="C98" i="7" s="1"/>
  <c r="A98" i="3"/>
  <c r="A98" i="7" s="1"/>
  <c r="O97" i="3"/>
  <c r="O97" i="7" s="1"/>
  <c r="N97" i="3"/>
  <c r="N97" i="7" s="1"/>
  <c r="L97" i="3"/>
  <c r="L97" i="7" s="1"/>
  <c r="K97" i="3"/>
  <c r="K97" i="7" s="1"/>
  <c r="J97" i="3"/>
  <c r="J97" i="7" s="1"/>
  <c r="I97" i="3"/>
  <c r="I97" i="7" s="1"/>
  <c r="H97" i="3"/>
  <c r="H97" i="7" s="1"/>
  <c r="G97" i="3"/>
  <c r="G97" i="7" s="1"/>
  <c r="F97" i="3"/>
  <c r="F97" i="7" s="1"/>
  <c r="E97" i="3"/>
  <c r="E97" i="7" s="1"/>
  <c r="D97" i="3"/>
  <c r="D97" i="7" s="1"/>
  <c r="C97" i="3"/>
  <c r="C97" i="7" s="1"/>
  <c r="A97" i="3"/>
  <c r="A97" i="7" s="1"/>
  <c r="O96" i="3"/>
  <c r="O96" i="7" s="1"/>
  <c r="N96" i="3"/>
  <c r="N96" i="7" s="1"/>
  <c r="L96" i="3"/>
  <c r="L96" i="7" s="1"/>
  <c r="K96" i="3"/>
  <c r="K96" i="7" s="1"/>
  <c r="J96" i="3"/>
  <c r="J96" i="7" s="1"/>
  <c r="I96" i="3"/>
  <c r="I96" i="7" s="1"/>
  <c r="H96" i="3"/>
  <c r="H96" i="7" s="1"/>
  <c r="G96" i="3"/>
  <c r="G96" i="7" s="1"/>
  <c r="F96" i="3"/>
  <c r="F96" i="7" s="1"/>
  <c r="E96" i="3"/>
  <c r="E96" i="7" s="1"/>
  <c r="D96" i="3"/>
  <c r="D96" i="7" s="1"/>
  <c r="C96" i="3"/>
  <c r="C96" i="7" s="1"/>
  <c r="A96" i="3"/>
  <c r="A96" i="7" s="1"/>
  <c r="O95" i="3"/>
  <c r="O95" i="7" s="1"/>
  <c r="N95" i="3"/>
  <c r="N95" i="7" s="1"/>
  <c r="L95" i="3"/>
  <c r="L95" i="7" s="1"/>
  <c r="K95" i="3"/>
  <c r="K95" i="7" s="1"/>
  <c r="J95" i="3"/>
  <c r="J95" i="7" s="1"/>
  <c r="I95" i="3"/>
  <c r="I95" i="7" s="1"/>
  <c r="H95" i="3"/>
  <c r="H95" i="7" s="1"/>
  <c r="G95" i="3"/>
  <c r="G95" i="7" s="1"/>
  <c r="F95" i="3"/>
  <c r="F95" i="7" s="1"/>
  <c r="E95" i="3"/>
  <c r="E95" i="7" s="1"/>
  <c r="D95" i="3"/>
  <c r="D95" i="7" s="1"/>
  <c r="C95" i="3"/>
  <c r="C95" i="7" s="1"/>
  <c r="A95" i="3"/>
  <c r="A95" i="7" s="1"/>
  <c r="O94" i="3"/>
  <c r="O94" i="7" s="1"/>
  <c r="N94" i="3"/>
  <c r="N94" i="7" s="1"/>
  <c r="L94" i="3"/>
  <c r="L94" i="7" s="1"/>
  <c r="K94" i="3"/>
  <c r="K94" i="7" s="1"/>
  <c r="J94" i="3"/>
  <c r="J94" i="7" s="1"/>
  <c r="I94" i="3"/>
  <c r="I94" i="7" s="1"/>
  <c r="H94" i="3"/>
  <c r="H94" i="7" s="1"/>
  <c r="G94" i="3"/>
  <c r="G94" i="7" s="1"/>
  <c r="F94" i="3"/>
  <c r="F94" i="7" s="1"/>
  <c r="E94" i="3"/>
  <c r="E94" i="7" s="1"/>
  <c r="D94" i="3"/>
  <c r="D94" i="7" s="1"/>
  <c r="C94" i="3"/>
  <c r="C94" i="7" s="1"/>
  <c r="A94" i="3"/>
  <c r="A94" i="7" s="1"/>
  <c r="O93" i="3"/>
  <c r="O93" i="7" s="1"/>
  <c r="N93" i="3"/>
  <c r="N93" i="7" s="1"/>
  <c r="L93" i="3"/>
  <c r="L93" i="7" s="1"/>
  <c r="K93" i="3"/>
  <c r="K93" i="7" s="1"/>
  <c r="J93" i="3"/>
  <c r="J93" i="7" s="1"/>
  <c r="I93" i="3"/>
  <c r="I93" i="7" s="1"/>
  <c r="H93" i="3"/>
  <c r="H93" i="7" s="1"/>
  <c r="G93" i="3"/>
  <c r="G93" i="7" s="1"/>
  <c r="F93" i="3"/>
  <c r="F93" i="7" s="1"/>
  <c r="E93" i="3"/>
  <c r="E93" i="7" s="1"/>
  <c r="D93" i="3"/>
  <c r="D93" i="7" s="1"/>
  <c r="C93" i="3"/>
  <c r="C93" i="7" s="1"/>
  <c r="A93" i="3"/>
  <c r="A93" i="7" s="1"/>
  <c r="O92" i="3"/>
  <c r="O92" i="7" s="1"/>
  <c r="N92" i="3"/>
  <c r="N92" i="7" s="1"/>
  <c r="L92" i="3"/>
  <c r="L92" i="7" s="1"/>
  <c r="K92" i="3"/>
  <c r="K92" i="7" s="1"/>
  <c r="J92" i="3"/>
  <c r="J92" i="7" s="1"/>
  <c r="I92" i="3"/>
  <c r="I92" i="7" s="1"/>
  <c r="H92" i="3"/>
  <c r="H92" i="7" s="1"/>
  <c r="G92" i="3"/>
  <c r="G92" i="7" s="1"/>
  <c r="F92" i="3"/>
  <c r="F92" i="7" s="1"/>
  <c r="E92" i="3"/>
  <c r="E92" i="7" s="1"/>
  <c r="D92" i="3"/>
  <c r="D92" i="7" s="1"/>
  <c r="C92" i="3"/>
  <c r="C92" i="7" s="1"/>
  <c r="A92" i="3"/>
  <c r="A92" i="7" s="1"/>
  <c r="O91" i="3"/>
  <c r="O91" i="7" s="1"/>
  <c r="N91" i="3"/>
  <c r="N91" i="7" s="1"/>
  <c r="L91" i="3"/>
  <c r="L91" i="7" s="1"/>
  <c r="K91" i="3"/>
  <c r="K91" i="7" s="1"/>
  <c r="J91" i="3"/>
  <c r="J91" i="7" s="1"/>
  <c r="I91" i="3"/>
  <c r="I91" i="7" s="1"/>
  <c r="H91" i="3"/>
  <c r="H91" i="7" s="1"/>
  <c r="G91" i="3"/>
  <c r="G91" i="7" s="1"/>
  <c r="F91" i="3"/>
  <c r="F91" i="7" s="1"/>
  <c r="E91" i="3"/>
  <c r="E91" i="7" s="1"/>
  <c r="D91" i="3"/>
  <c r="D91" i="7" s="1"/>
  <c r="C91" i="3"/>
  <c r="C91" i="7" s="1"/>
  <c r="A91" i="3"/>
  <c r="A91" i="7" s="1"/>
  <c r="O90" i="3"/>
  <c r="O90" i="7" s="1"/>
  <c r="N90" i="3"/>
  <c r="N90" i="7" s="1"/>
  <c r="L90" i="3"/>
  <c r="L90" i="7" s="1"/>
  <c r="K90" i="3"/>
  <c r="K90" i="7" s="1"/>
  <c r="J90" i="3"/>
  <c r="J90" i="7" s="1"/>
  <c r="I90" i="3"/>
  <c r="I90" i="7" s="1"/>
  <c r="H90" i="3"/>
  <c r="H90" i="7" s="1"/>
  <c r="G90" i="3"/>
  <c r="G90" i="7" s="1"/>
  <c r="F90" i="3"/>
  <c r="F90" i="7" s="1"/>
  <c r="E90" i="3"/>
  <c r="E90" i="7" s="1"/>
  <c r="D90" i="3"/>
  <c r="D90" i="7" s="1"/>
  <c r="C90" i="3"/>
  <c r="C90" i="7" s="1"/>
  <c r="A90" i="3"/>
  <c r="A90" i="7" s="1"/>
  <c r="O89" i="3"/>
  <c r="O89" i="7" s="1"/>
  <c r="N89" i="3"/>
  <c r="N89" i="7" s="1"/>
  <c r="L89" i="3"/>
  <c r="L89" i="7" s="1"/>
  <c r="K89" i="3"/>
  <c r="K89" i="7" s="1"/>
  <c r="J89" i="3"/>
  <c r="J89" i="7" s="1"/>
  <c r="I89" i="3"/>
  <c r="I89" i="7" s="1"/>
  <c r="H89" i="3"/>
  <c r="H89" i="7" s="1"/>
  <c r="G89" i="3"/>
  <c r="G89" i="7" s="1"/>
  <c r="F89" i="3"/>
  <c r="F89" i="7" s="1"/>
  <c r="E89" i="3"/>
  <c r="E89" i="7" s="1"/>
  <c r="D89" i="3"/>
  <c r="D89" i="7" s="1"/>
  <c r="C89" i="3"/>
  <c r="C89" i="7" s="1"/>
  <c r="A89" i="3"/>
  <c r="A89" i="7" s="1"/>
  <c r="O88" i="3"/>
  <c r="O88" i="7" s="1"/>
  <c r="N88" i="3"/>
  <c r="N88" i="7" s="1"/>
  <c r="L88" i="3"/>
  <c r="L88" i="7" s="1"/>
  <c r="K88" i="3"/>
  <c r="K88" i="7" s="1"/>
  <c r="J88" i="3"/>
  <c r="J88" i="7" s="1"/>
  <c r="I88" i="3"/>
  <c r="I88" i="7" s="1"/>
  <c r="H88" i="3"/>
  <c r="H88" i="7" s="1"/>
  <c r="G88" i="3"/>
  <c r="G88" i="7" s="1"/>
  <c r="F88" i="3"/>
  <c r="F88" i="7" s="1"/>
  <c r="E88" i="3"/>
  <c r="E88" i="7" s="1"/>
  <c r="D88" i="3"/>
  <c r="D88" i="7" s="1"/>
  <c r="C88" i="3"/>
  <c r="C88" i="7" s="1"/>
  <c r="A88" i="3"/>
  <c r="A88" i="7" s="1"/>
  <c r="O87" i="3"/>
  <c r="O87" i="7" s="1"/>
  <c r="N87" i="3"/>
  <c r="N87" i="7" s="1"/>
  <c r="L87" i="3"/>
  <c r="L87" i="7" s="1"/>
  <c r="K87" i="3"/>
  <c r="K87" i="7" s="1"/>
  <c r="J87" i="3"/>
  <c r="J87" i="7" s="1"/>
  <c r="I87" i="3"/>
  <c r="I87" i="7" s="1"/>
  <c r="H87" i="3"/>
  <c r="H87" i="7" s="1"/>
  <c r="G87" i="3"/>
  <c r="G87" i="7" s="1"/>
  <c r="F87" i="3"/>
  <c r="F87" i="7" s="1"/>
  <c r="E87" i="3"/>
  <c r="E87" i="7" s="1"/>
  <c r="D87" i="3"/>
  <c r="D87" i="7" s="1"/>
  <c r="C87" i="3"/>
  <c r="C87" i="7" s="1"/>
  <c r="A87" i="3"/>
  <c r="A87" i="7" s="1"/>
  <c r="O86" i="3"/>
  <c r="O86" i="7" s="1"/>
  <c r="N86" i="3"/>
  <c r="N86" i="7" s="1"/>
  <c r="L86" i="3"/>
  <c r="L86" i="7" s="1"/>
  <c r="K86" i="3"/>
  <c r="K86" i="7" s="1"/>
  <c r="J86" i="3"/>
  <c r="J86" i="7" s="1"/>
  <c r="I86" i="3"/>
  <c r="I86" i="7" s="1"/>
  <c r="H86" i="3"/>
  <c r="H86" i="7" s="1"/>
  <c r="G86" i="3"/>
  <c r="G86" i="7" s="1"/>
  <c r="F86" i="3"/>
  <c r="F86" i="7" s="1"/>
  <c r="E86" i="3"/>
  <c r="E86" i="7" s="1"/>
  <c r="D86" i="3"/>
  <c r="D86" i="7" s="1"/>
  <c r="C86" i="3"/>
  <c r="C86" i="7" s="1"/>
  <c r="A86" i="3"/>
  <c r="A86" i="7" s="1"/>
  <c r="O85" i="3"/>
  <c r="O85" i="7" s="1"/>
  <c r="L85" i="3"/>
  <c r="L85" i="7" s="1"/>
  <c r="K85" i="3"/>
  <c r="K85" i="7" s="1"/>
  <c r="J85" i="3"/>
  <c r="J85" i="7" s="1"/>
  <c r="I85" i="3"/>
  <c r="I85" i="7" s="1"/>
  <c r="H85" i="3"/>
  <c r="H85" i="7" s="1"/>
  <c r="G85" i="3"/>
  <c r="G85" i="7" s="1"/>
  <c r="F85" i="3"/>
  <c r="F85" i="7" s="1"/>
  <c r="E85" i="3"/>
  <c r="E85" i="7" s="1"/>
  <c r="D85" i="3"/>
  <c r="D85" i="7" s="1"/>
  <c r="C85" i="3"/>
  <c r="C85" i="7" s="1"/>
  <c r="A85" i="3"/>
  <c r="A85" i="7" s="1"/>
  <c r="O84" i="3"/>
  <c r="O84" i="7" s="1"/>
  <c r="L84" i="3"/>
  <c r="L84" i="7" s="1"/>
  <c r="K84" i="3"/>
  <c r="K84" i="7" s="1"/>
  <c r="J84" i="3"/>
  <c r="J84" i="7" s="1"/>
  <c r="I84" i="3"/>
  <c r="I84" i="7" s="1"/>
  <c r="H84" i="3"/>
  <c r="H84" i="7" s="1"/>
  <c r="G84" i="3"/>
  <c r="G84" i="7" s="1"/>
  <c r="F84" i="3"/>
  <c r="F84" i="7" s="1"/>
  <c r="E84" i="3"/>
  <c r="E84" i="7" s="1"/>
  <c r="D84" i="3"/>
  <c r="D84" i="7" s="1"/>
  <c r="C84" i="3"/>
  <c r="C84" i="7" s="1"/>
  <c r="A84" i="3"/>
  <c r="A84" i="7" s="1"/>
  <c r="O83" i="3"/>
  <c r="O83" i="7" s="1"/>
  <c r="L83" i="3"/>
  <c r="L83" i="7" s="1"/>
  <c r="K83" i="3"/>
  <c r="K83" i="7" s="1"/>
  <c r="J83" i="3"/>
  <c r="J83" i="7" s="1"/>
  <c r="I83" i="3"/>
  <c r="I83" i="7" s="1"/>
  <c r="H83" i="3"/>
  <c r="H83" i="7" s="1"/>
  <c r="G83" i="3"/>
  <c r="G83" i="7" s="1"/>
  <c r="F83" i="3"/>
  <c r="F83" i="7" s="1"/>
  <c r="E83" i="3"/>
  <c r="E83" i="7" s="1"/>
  <c r="D83" i="3"/>
  <c r="D83" i="7" s="1"/>
  <c r="C83" i="3"/>
  <c r="C83" i="7" s="1"/>
  <c r="A83" i="3"/>
  <c r="A83" i="7" s="1"/>
  <c r="O82" i="3"/>
  <c r="O82" i="7" s="1"/>
  <c r="L82" i="3"/>
  <c r="L82" i="7" s="1"/>
  <c r="K82" i="3"/>
  <c r="K82" i="7" s="1"/>
  <c r="J82" i="3"/>
  <c r="J82" i="7" s="1"/>
  <c r="I82" i="3"/>
  <c r="I82" i="7" s="1"/>
  <c r="H82" i="3"/>
  <c r="H82" i="7" s="1"/>
  <c r="G82" i="3"/>
  <c r="G82" i="7" s="1"/>
  <c r="F82" i="3"/>
  <c r="F82" i="7" s="1"/>
  <c r="E82" i="3"/>
  <c r="E82" i="7" s="1"/>
  <c r="D82" i="3"/>
  <c r="D82" i="7" s="1"/>
  <c r="C82" i="3"/>
  <c r="C82" i="7" s="1"/>
  <c r="A82" i="3"/>
  <c r="A82" i="7" s="1"/>
  <c r="O81" i="3"/>
  <c r="O81" i="7" s="1"/>
  <c r="L81" i="3"/>
  <c r="L81" i="7" s="1"/>
  <c r="K81" i="3"/>
  <c r="K81" i="7" s="1"/>
  <c r="J81" i="3"/>
  <c r="J81" i="7" s="1"/>
  <c r="I81" i="3"/>
  <c r="I81" i="7" s="1"/>
  <c r="H81" i="3"/>
  <c r="H81" i="7" s="1"/>
  <c r="G81" i="3"/>
  <c r="G81" i="7" s="1"/>
  <c r="F81" i="3"/>
  <c r="F81" i="7" s="1"/>
  <c r="E81" i="3"/>
  <c r="E81" i="7" s="1"/>
  <c r="D81" i="3"/>
  <c r="D81" i="7" s="1"/>
  <c r="C81" i="3"/>
  <c r="C81" i="7" s="1"/>
  <c r="A81" i="3"/>
  <c r="A81" i="7" s="1"/>
  <c r="O80" i="3"/>
  <c r="O80" i="7" s="1"/>
  <c r="L80" i="3"/>
  <c r="L80" i="7" s="1"/>
  <c r="K80" i="3"/>
  <c r="K80" i="7" s="1"/>
  <c r="J80" i="3"/>
  <c r="J80" i="7" s="1"/>
  <c r="I80" i="3"/>
  <c r="I80" i="7" s="1"/>
  <c r="H80" i="3"/>
  <c r="H80" i="7" s="1"/>
  <c r="G80" i="3"/>
  <c r="G80" i="7" s="1"/>
  <c r="F80" i="3"/>
  <c r="F80" i="7" s="1"/>
  <c r="E80" i="3"/>
  <c r="E80" i="7" s="1"/>
  <c r="D80" i="3"/>
  <c r="D80" i="7" s="1"/>
  <c r="C80" i="3"/>
  <c r="C80" i="7" s="1"/>
  <c r="A80" i="3"/>
  <c r="A80" i="7" s="1"/>
  <c r="O79" i="3"/>
  <c r="O79" i="7" s="1"/>
  <c r="L79" i="3"/>
  <c r="L79" i="7" s="1"/>
  <c r="K79" i="3"/>
  <c r="K79" i="7" s="1"/>
  <c r="J79" i="3"/>
  <c r="J79" i="7" s="1"/>
  <c r="I79" i="3"/>
  <c r="I79" i="7" s="1"/>
  <c r="H79" i="3"/>
  <c r="H79" i="7" s="1"/>
  <c r="G79" i="3"/>
  <c r="G79" i="7" s="1"/>
  <c r="F79" i="3"/>
  <c r="F79" i="7" s="1"/>
  <c r="E79" i="3"/>
  <c r="E79" i="7" s="1"/>
  <c r="D79" i="3"/>
  <c r="D79" i="7" s="1"/>
  <c r="C79" i="3"/>
  <c r="C79" i="7" s="1"/>
  <c r="A79" i="3"/>
  <c r="A79" i="7" s="1"/>
  <c r="O78" i="3"/>
  <c r="O78" i="7" s="1"/>
  <c r="L78" i="3"/>
  <c r="L78" i="7" s="1"/>
  <c r="K78" i="3"/>
  <c r="K78" i="7" s="1"/>
  <c r="J78" i="3"/>
  <c r="J78" i="7" s="1"/>
  <c r="I78" i="3"/>
  <c r="I78" i="7" s="1"/>
  <c r="H78" i="3"/>
  <c r="H78" i="7" s="1"/>
  <c r="G78" i="3"/>
  <c r="G78" i="7" s="1"/>
  <c r="F78" i="3"/>
  <c r="F78" i="7" s="1"/>
  <c r="E78" i="3"/>
  <c r="E78" i="7" s="1"/>
  <c r="D78" i="3"/>
  <c r="D78" i="7" s="1"/>
  <c r="C78" i="3"/>
  <c r="C78" i="7" s="1"/>
  <c r="A78" i="3"/>
  <c r="A78" i="7" s="1"/>
  <c r="O77" i="3"/>
  <c r="O77" i="7" s="1"/>
  <c r="L77" i="3"/>
  <c r="L77" i="7" s="1"/>
  <c r="K77" i="3"/>
  <c r="K77" i="7" s="1"/>
  <c r="J77" i="3"/>
  <c r="J77" i="7" s="1"/>
  <c r="I77" i="3"/>
  <c r="I77" i="7" s="1"/>
  <c r="H77" i="3"/>
  <c r="H77" i="7" s="1"/>
  <c r="G77" i="3"/>
  <c r="G77" i="7" s="1"/>
  <c r="F77" i="3"/>
  <c r="F77" i="7" s="1"/>
  <c r="E77" i="3"/>
  <c r="E77" i="7" s="1"/>
  <c r="D77" i="3"/>
  <c r="D77" i="7" s="1"/>
  <c r="C77" i="3"/>
  <c r="C77" i="7" s="1"/>
  <c r="A77" i="3"/>
  <c r="A77" i="7" s="1"/>
  <c r="O76" i="3"/>
  <c r="O76" i="7" s="1"/>
  <c r="L76" i="3"/>
  <c r="L76" i="7" s="1"/>
  <c r="K76" i="3"/>
  <c r="K76" i="7" s="1"/>
  <c r="J76" i="3"/>
  <c r="J76" i="7" s="1"/>
  <c r="I76" i="3"/>
  <c r="I76" i="7" s="1"/>
  <c r="H76" i="3"/>
  <c r="H76" i="7" s="1"/>
  <c r="G76" i="3"/>
  <c r="G76" i="7" s="1"/>
  <c r="F76" i="3"/>
  <c r="F76" i="7" s="1"/>
  <c r="E76" i="3"/>
  <c r="E76" i="7" s="1"/>
  <c r="D76" i="3"/>
  <c r="D76" i="7" s="1"/>
  <c r="C76" i="3"/>
  <c r="C76" i="7" s="1"/>
  <c r="A76" i="3"/>
  <c r="A76" i="7" s="1"/>
  <c r="O75" i="3"/>
  <c r="O75" i="7" s="1"/>
  <c r="L75" i="3"/>
  <c r="L75" i="7" s="1"/>
  <c r="K75" i="3"/>
  <c r="K75" i="7" s="1"/>
  <c r="J75" i="3"/>
  <c r="J75" i="7" s="1"/>
  <c r="I75" i="3"/>
  <c r="I75" i="7" s="1"/>
  <c r="H75" i="3"/>
  <c r="H75" i="7" s="1"/>
  <c r="G75" i="3"/>
  <c r="G75" i="7" s="1"/>
  <c r="F75" i="3"/>
  <c r="F75" i="7" s="1"/>
  <c r="E75" i="3"/>
  <c r="E75" i="7" s="1"/>
  <c r="D75" i="3"/>
  <c r="D75" i="7" s="1"/>
  <c r="C75" i="3"/>
  <c r="C75" i="7" s="1"/>
  <c r="A75" i="3"/>
  <c r="A75" i="7" s="1"/>
  <c r="O74" i="3"/>
  <c r="O74" i="7" s="1"/>
  <c r="L74" i="3"/>
  <c r="L74" i="7" s="1"/>
  <c r="K74" i="3"/>
  <c r="K74" i="7" s="1"/>
  <c r="J74" i="3"/>
  <c r="J74" i="7" s="1"/>
  <c r="I74" i="3"/>
  <c r="I74" i="7" s="1"/>
  <c r="H74" i="3"/>
  <c r="H74" i="7" s="1"/>
  <c r="G74" i="3"/>
  <c r="G74" i="7" s="1"/>
  <c r="F74" i="3"/>
  <c r="F74" i="7" s="1"/>
  <c r="E74" i="3"/>
  <c r="E74" i="7" s="1"/>
  <c r="D74" i="3"/>
  <c r="D74" i="7" s="1"/>
  <c r="C74" i="3"/>
  <c r="C74" i="7" s="1"/>
  <c r="A74" i="3"/>
  <c r="A74" i="7" s="1"/>
  <c r="O73" i="3"/>
  <c r="O73" i="7" s="1"/>
  <c r="L73" i="3"/>
  <c r="L73" i="7" s="1"/>
  <c r="K73" i="3"/>
  <c r="K73" i="7" s="1"/>
  <c r="J73" i="3"/>
  <c r="J73" i="7" s="1"/>
  <c r="I73" i="3"/>
  <c r="I73" i="7" s="1"/>
  <c r="H73" i="3"/>
  <c r="H73" i="7" s="1"/>
  <c r="G73" i="3"/>
  <c r="G73" i="7" s="1"/>
  <c r="F73" i="3"/>
  <c r="F73" i="7" s="1"/>
  <c r="E73" i="3"/>
  <c r="E73" i="7" s="1"/>
  <c r="D73" i="3"/>
  <c r="D73" i="7" s="1"/>
  <c r="C73" i="3"/>
  <c r="C73" i="7" s="1"/>
  <c r="A73" i="3"/>
  <c r="A73" i="7" s="1"/>
  <c r="O72" i="3"/>
  <c r="O72" i="7" s="1"/>
  <c r="L72" i="3"/>
  <c r="L72" i="7" s="1"/>
  <c r="K72" i="3"/>
  <c r="K72" i="7" s="1"/>
  <c r="J72" i="3"/>
  <c r="J72" i="7" s="1"/>
  <c r="I72" i="3"/>
  <c r="I72" i="7" s="1"/>
  <c r="H72" i="3"/>
  <c r="H72" i="7" s="1"/>
  <c r="G72" i="3"/>
  <c r="G72" i="7" s="1"/>
  <c r="F72" i="3"/>
  <c r="F72" i="7" s="1"/>
  <c r="E72" i="3"/>
  <c r="E72" i="7" s="1"/>
  <c r="D72" i="3"/>
  <c r="D72" i="7" s="1"/>
  <c r="C72" i="3"/>
  <c r="C72" i="7" s="1"/>
  <c r="A72" i="3"/>
  <c r="A72" i="7" s="1"/>
  <c r="O71" i="3"/>
  <c r="O71" i="7" s="1"/>
  <c r="L71" i="3"/>
  <c r="L71" i="7" s="1"/>
  <c r="K71" i="3"/>
  <c r="K71" i="7" s="1"/>
  <c r="J71" i="3"/>
  <c r="J71" i="7" s="1"/>
  <c r="I71" i="3"/>
  <c r="I71" i="7" s="1"/>
  <c r="H71" i="3"/>
  <c r="H71" i="7" s="1"/>
  <c r="G71" i="3"/>
  <c r="G71" i="7" s="1"/>
  <c r="F71" i="3"/>
  <c r="F71" i="7" s="1"/>
  <c r="E71" i="3"/>
  <c r="E71" i="7" s="1"/>
  <c r="D71" i="3"/>
  <c r="D71" i="7" s="1"/>
  <c r="C71" i="3"/>
  <c r="C71" i="7" s="1"/>
  <c r="A71" i="3"/>
  <c r="A71" i="7" s="1"/>
  <c r="O70" i="3"/>
  <c r="O70" i="7" s="1"/>
  <c r="L70" i="3"/>
  <c r="L70" i="7" s="1"/>
  <c r="K70" i="3"/>
  <c r="K70" i="7" s="1"/>
  <c r="J70" i="3"/>
  <c r="J70" i="7" s="1"/>
  <c r="I70" i="3"/>
  <c r="I70" i="7" s="1"/>
  <c r="H70" i="3"/>
  <c r="H70" i="7" s="1"/>
  <c r="G70" i="3"/>
  <c r="G70" i="7" s="1"/>
  <c r="F70" i="3"/>
  <c r="F70" i="7" s="1"/>
  <c r="E70" i="3"/>
  <c r="E70" i="7" s="1"/>
  <c r="D70" i="3"/>
  <c r="D70" i="7" s="1"/>
  <c r="C70" i="3"/>
  <c r="C70" i="7" s="1"/>
  <c r="A70" i="3"/>
  <c r="A70" i="7" s="1"/>
  <c r="O69" i="3"/>
  <c r="O69" i="7" s="1"/>
  <c r="L69" i="3"/>
  <c r="L69" i="7" s="1"/>
  <c r="K69" i="3"/>
  <c r="K69" i="7" s="1"/>
  <c r="J69" i="3"/>
  <c r="J69" i="7" s="1"/>
  <c r="I69" i="3"/>
  <c r="I69" i="7" s="1"/>
  <c r="H69" i="3"/>
  <c r="H69" i="7" s="1"/>
  <c r="G69" i="3"/>
  <c r="G69" i="7" s="1"/>
  <c r="F69" i="3"/>
  <c r="F69" i="7" s="1"/>
  <c r="E69" i="3"/>
  <c r="E69" i="7" s="1"/>
  <c r="D69" i="3"/>
  <c r="D69" i="7" s="1"/>
  <c r="C69" i="3"/>
  <c r="C69" i="7" s="1"/>
  <c r="A69" i="3"/>
  <c r="A69" i="7" s="1"/>
  <c r="O68" i="3"/>
  <c r="O68" i="7" s="1"/>
  <c r="L68" i="3"/>
  <c r="L68" i="7" s="1"/>
  <c r="K68" i="3"/>
  <c r="K68" i="7" s="1"/>
  <c r="J68" i="3"/>
  <c r="J68" i="7" s="1"/>
  <c r="I68" i="3"/>
  <c r="I68" i="7" s="1"/>
  <c r="H68" i="3"/>
  <c r="H68" i="7" s="1"/>
  <c r="G68" i="3"/>
  <c r="G68" i="7" s="1"/>
  <c r="F68" i="3"/>
  <c r="F68" i="7" s="1"/>
  <c r="E68" i="3"/>
  <c r="E68" i="7" s="1"/>
  <c r="D68" i="3"/>
  <c r="D68" i="7" s="1"/>
  <c r="C68" i="3"/>
  <c r="C68" i="7" s="1"/>
  <c r="A68" i="3"/>
  <c r="A68" i="7" s="1"/>
  <c r="O67" i="3"/>
  <c r="O67" i="7" s="1"/>
  <c r="L67" i="3"/>
  <c r="L67" i="7" s="1"/>
  <c r="K67" i="3"/>
  <c r="K67" i="7" s="1"/>
  <c r="J67" i="3"/>
  <c r="J67" i="7" s="1"/>
  <c r="I67" i="3"/>
  <c r="I67" i="7" s="1"/>
  <c r="H67" i="3"/>
  <c r="H67" i="7" s="1"/>
  <c r="G67" i="3"/>
  <c r="G67" i="7" s="1"/>
  <c r="F67" i="3"/>
  <c r="F67" i="7" s="1"/>
  <c r="E67" i="3"/>
  <c r="E67" i="7" s="1"/>
  <c r="D67" i="3"/>
  <c r="D67" i="7" s="1"/>
  <c r="C67" i="3"/>
  <c r="C67" i="7" s="1"/>
  <c r="A67" i="3"/>
  <c r="A67" i="7" s="1"/>
  <c r="O66" i="3"/>
  <c r="O66" i="7" s="1"/>
  <c r="L66" i="3"/>
  <c r="L66" i="7" s="1"/>
  <c r="K66" i="3"/>
  <c r="K66" i="7" s="1"/>
  <c r="J66" i="3"/>
  <c r="J66" i="7" s="1"/>
  <c r="I66" i="3"/>
  <c r="I66" i="7" s="1"/>
  <c r="H66" i="3"/>
  <c r="H66" i="7" s="1"/>
  <c r="G66" i="3"/>
  <c r="G66" i="7" s="1"/>
  <c r="F66" i="3"/>
  <c r="F66" i="7" s="1"/>
  <c r="E66" i="3"/>
  <c r="E66" i="7" s="1"/>
  <c r="D66" i="3"/>
  <c r="D66" i="7" s="1"/>
  <c r="C66" i="3"/>
  <c r="C66" i="7" s="1"/>
  <c r="A66" i="3"/>
  <c r="A66" i="7" s="1"/>
  <c r="O65" i="3"/>
  <c r="O65" i="7" s="1"/>
  <c r="L65" i="3"/>
  <c r="L65" i="7" s="1"/>
  <c r="K65" i="3"/>
  <c r="K65" i="7" s="1"/>
  <c r="J65" i="3"/>
  <c r="J65" i="7" s="1"/>
  <c r="I65" i="3"/>
  <c r="I65" i="7" s="1"/>
  <c r="H65" i="3"/>
  <c r="H65" i="7" s="1"/>
  <c r="G65" i="3"/>
  <c r="G65" i="7" s="1"/>
  <c r="F65" i="3"/>
  <c r="F65" i="7" s="1"/>
  <c r="E65" i="3"/>
  <c r="E65" i="7" s="1"/>
  <c r="D65" i="3"/>
  <c r="D65" i="7" s="1"/>
  <c r="C65" i="3"/>
  <c r="C65" i="7" s="1"/>
  <c r="A65" i="3"/>
  <c r="A65" i="7" s="1"/>
  <c r="O64" i="3"/>
  <c r="O64" i="7" s="1"/>
  <c r="L64" i="3"/>
  <c r="L64" i="7" s="1"/>
  <c r="K64" i="3"/>
  <c r="K64" i="7" s="1"/>
  <c r="J64" i="3"/>
  <c r="J64" i="7" s="1"/>
  <c r="I64" i="3"/>
  <c r="I64" i="7" s="1"/>
  <c r="H64" i="3"/>
  <c r="H64" i="7" s="1"/>
  <c r="G64" i="3"/>
  <c r="G64" i="7" s="1"/>
  <c r="F64" i="3"/>
  <c r="F64" i="7" s="1"/>
  <c r="E64" i="3"/>
  <c r="E64" i="7" s="1"/>
  <c r="D64" i="3"/>
  <c r="D64" i="7" s="1"/>
  <c r="C64" i="3"/>
  <c r="C64" i="7" s="1"/>
  <c r="A64" i="3"/>
  <c r="A64" i="7" s="1"/>
  <c r="O63" i="3"/>
  <c r="O63" i="7" s="1"/>
  <c r="L63" i="3"/>
  <c r="L63" i="7" s="1"/>
  <c r="K63" i="3"/>
  <c r="K63" i="7" s="1"/>
  <c r="J63" i="3"/>
  <c r="J63" i="7" s="1"/>
  <c r="I63" i="3"/>
  <c r="I63" i="7" s="1"/>
  <c r="H63" i="3"/>
  <c r="H63" i="7" s="1"/>
  <c r="G63" i="3"/>
  <c r="G63" i="7" s="1"/>
  <c r="F63" i="3"/>
  <c r="F63" i="7" s="1"/>
  <c r="E63" i="3"/>
  <c r="E63" i="7" s="1"/>
  <c r="D63" i="3"/>
  <c r="D63" i="7" s="1"/>
  <c r="C63" i="3"/>
  <c r="C63" i="7" s="1"/>
  <c r="A63" i="3"/>
  <c r="A63" i="7" s="1"/>
  <c r="O62" i="3"/>
  <c r="O62" i="7" s="1"/>
  <c r="L62" i="3"/>
  <c r="L62" i="7" s="1"/>
  <c r="K62" i="3"/>
  <c r="K62" i="7" s="1"/>
  <c r="J62" i="3"/>
  <c r="J62" i="7" s="1"/>
  <c r="I62" i="3"/>
  <c r="I62" i="7" s="1"/>
  <c r="H62" i="3"/>
  <c r="H62" i="7" s="1"/>
  <c r="G62" i="3"/>
  <c r="G62" i="7" s="1"/>
  <c r="F62" i="3"/>
  <c r="F62" i="7" s="1"/>
  <c r="E62" i="3"/>
  <c r="E62" i="7" s="1"/>
  <c r="D62" i="3"/>
  <c r="D62" i="7" s="1"/>
  <c r="C62" i="3"/>
  <c r="C62" i="7" s="1"/>
  <c r="A62" i="3"/>
  <c r="A62" i="7" s="1"/>
  <c r="O61" i="3"/>
  <c r="O61" i="7" s="1"/>
  <c r="L61" i="3"/>
  <c r="L61" i="7" s="1"/>
  <c r="K61" i="3"/>
  <c r="K61" i="7" s="1"/>
  <c r="J61" i="3"/>
  <c r="J61" i="7" s="1"/>
  <c r="I61" i="3"/>
  <c r="I61" i="7" s="1"/>
  <c r="H61" i="3"/>
  <c r="H61" i="7" s="1"/>
  <c r="G61" i="3"/>
  <c r="G61" i="7" s="1"/>
  <c r="F61" i="3"/>
  <c r="F61" i="7" s="1"/>
  <c r="E61" i="3"/>
  <c r="E61" i="7" s="1"/>
  <c r="D61" i="3"/>
  <c r="D61" i="7" s="1"/>
  <c r="C61" i="3"/>
  <c r="C61" i="7" s="1"/>
  <c r="A61" i="3"/>
  <c r="A61" i="7" s="1"/>
  <c r="O60" i="3"/>
  <c r="O60" i="7" s="1"/>
  <c r="L60" i="3"/>
  <c r="L60" i="7" s="1"/>
  <c r="K60" i="3"/>
  <c r="K60" i="7" s="1"/>
  <c r="J60" i="3"/>
  <c r="J60" i="7" s="1"/>
  <c r="I60" i="3"/>
  <c r="I60" i="7" s="1"/>
  <c r="H60" i="3"/>
  <c r="H60" i="7" s="1"/>
  <c r="G60" i="3"/>
  <c r="G60" i="7" s="1"/>
  <c r="F60" i="3"/>
  <c r="F60" i="7" s="1"/>
  <c r="E60" i="3"/>
  <c r="E60" i="7" s="1"/>
  <c r="D60" i="3"/>
  <c r="D60" i="7" s="1"/>
  <c r="C60" i="3"/>
  <c r="C60" i="7" s="1"/>
  <c r="A60" i="3"/>
  <c r="A60" i="7" s="1"/>
  <c r="O59" i="3"/>
  <c r="O59" i="7" s="1"/>
  <c r="L59" i="3"/>
  <c r="L59" i="7" s="1"/>
  <c r="K59" i="3"/>
  <c r="K59" i="7" s="1"/>
  <c r="J59" i="3"/>
  <c r="J59" i="7" s="1"/>
  <c r="I59" i="3"/>
  <c r="I59" i="7" s="1"/>
  <c r="H59" i="3"/>
  <c r="H59" i="7" s="1"/>
  <c r="G59" i="3"/>
  <c r="G59" i="7" s="1"/>
  <c r="F59" i="3"/>
  <c r="F59" i="7" s="1"/>
  <c r="E59" i="3"/>
  <c r="E59" i="7" s="1"/>
  <c r="D59" i="3"/>
  <c r="D59" i="7" s="1"/>
  <c r="C59" i="3"/>
  <c r="C59" i="7" s="1"/>
  <c r="A59" i="3"/>
  <c r="A59" i="7" s="1"/>
  <c r="O58" i="3"/>
  <c r="O58" i="7" s="1"/>
  <c r="L58" i="3"/>
  <c r="L58" i="7" s="1"/>
  <c r="K58" i="3"/>
  <c r="K58" i="7" s="1"/>
  <c r="J58" i="3"/>
  <c r="J58" i="7" s="1"/>
  <c r="I58" i="3"/>
  <c r="I58" i="7" s="1"/>
  <c r="H58" i="3"/>
  <c r="H58" i="7" s="1"/>
  <c r="G58" i="3"/>
  <c r="G58" i="7" s="1"/>
  <c r="F58" i="3"/>
  <c r="F58" i="7" s="1"/>
  <c r="E58" i="3"/>
  <c r="E58" i="7" s="1"/>
  <c r="D58" i="3"/>
  <c r="D58" i="7" s="1"/>
  <c r="C58" i="3"/>
  <c r="C58" i="7" s="1"/>
  <c r="A58" i="3"/>
  <c r="A58" i="7" s="1"/>
  <c r="O57" i="3"/>
  <c r="O57" i="7" s="1"/>
  <c r="L57" i="3"/>
  <c r="L57" i="7" s="1"/>
  <c r="K57" i="3"/>
  <c r="K57" i="7" s="1"/>
  <c r="J57" i="3"/>
  <c r="J57" i="7" s="1"/>
  <c r="I57" i="3"/>
  <c r="I57" i="7" s="1"/>
  <c r="H57" i="3"/>
  <c r="H57" i="7" s="1"/>
  <c r="G57" i="3"/>
  <c r="G57" i="7" s="1"/>
  <c r="F57" i="3"/>
  <c r="F57" i="7" s="1"/>
  <c r="E57" i="3"/>
  <c r="E57" i="7" s="1"/>
  <c r="D57" i="3"/>
  <c r="D57" i="7" s="1"/>
  <c r="C57" i="3"/>
  <c r="C57" i="7" s="1"/>
  <c r="A57" i="3"/>
  <c r="A57" i="7" s="1"/>
  <c r="O56" i="3"/>
  <c r="O56" i="7" s="1"/>
  <c r="L56" i="3"/>
  <c r="L56" i="7" s="1"/>
  <c r="K56" i="3"/>
  <c r="K56" i="7" s="1"/>
  <c r="J56" i="3"/>
  <c r="J56" i="7" s="1"/>
  <c r="I56" i="3"/>
  <c r="I56" i="7" s="1"/>
  <c r="H56" i="3"/>
  <c r="H56" i="7" s="1"/>
  <c r="G56" i="3"/>
  <c r="G56" i="7" s="1"/>
  <c r="F56" i="3"/>
  <c r="F56" i="7" s="1"/>
  <c r="E56" i="3"/>
  <c r="E56" i="7" s="1"/>
  <c r="D56" i="3"/>
  <c r="D56" i="7" s="1"/>
  <c r="C56" i="3"/>
  <c r="C56" i="7" s="1"/>
  <c r="A56" i="3"/>
  <c r="A56" i="7" s="1"/>
  <c r="O55" i="3"/>
  <c r="O55" i="7" s="1"/>
  <c r="L55" i="3"/>
  <c r="L55" i="7" s="1"/>
  <c r="K55" i="3"/>
  <c r="K55" i="7" s="1"/>
  <c r="J55" i="3"/>
  <c r="J55" i="7" s="1"/>
  <c r="I55" i="3"/>
  <c r="I55" i="7" s="1"/>
  <c r="H55" i="3"/>
  <c r="H55" i="7" s="1"/>
  <c r="G55" i="3"/>
  <c r="G55" i="7" s="1"/>
  <c r="F55" i="3"/>
  <c r="F55" i="7" s="1"/>
  <c r="E55" i="3"/>
  <c r="E55" i="7" s="1"/>
  <c r="D55" i="3"/>
  <c r="D55" i="7" s="1"/>
  <c r="C55" i="3"/>
  <c r="C55" i="7" s="1"/>
  <c r="A55" i="3"/>
  <c r="A55" i="7" s="1"/>
  <c r="O54" i="3"/>
  <c r="O54" i="7" s="1"/>
  <c r="L54" i="3"/>
  <c r="L54" i="7" s="1"/>
  <c r="K54" i="3"/>
  <c r="K54" i="7" s="1"/>
  <c r="J54" i="3"/>
  <c r="J54" i="7" s="1"/>
  <c r="I54" i="3"/>
  <c r="I54" i="7" s="1"/>
  <c r="H54" i="3"/>
  <c r="H54" i="7" s="1"/>
  <c r="G54" i="3"/>
  <c r="G54" i="7" s="1"/>
  <c r="F54" i="3"/>
  <c r="F54" i="7" s="1"/>
  <c r="E54" i="3"/>
  <c r="E54" i="7" s="1"/>
  <c r="D54" i="3"/>
  <c r="D54" i="7" s="1"/>
  <c r="C54" i="3"/>
  <c r="C54" i="7" s="1"/>
  <c r="A54" i="3"/>
  <c r="A54" i="7" s="1"/>
  <c r="O53" i="3"/>
  <c r="O53" i="7" s="1"/>
  <c r="L53" i="3"/>
  <c r="L53" i="7" s="1"/>
  <c r="K53" i="3"/>
  <c r="K53" i="7" s="1"/>
  <c r="J53" i="3"/>
  <c r="J53" i="7" s="1"/>
  <c r="I53" i="3"/>
  <c r="I53" i="7" s="1"/>
  <c r="H53" i="3"/>
  <c r="H53" i="7" s="1"/>
  <c r="G53" i="3"/>
  <c r="G53" i="7" s="1"/>
  <c r="F53" i="3"/>
  <c r="F53" i="7" s="1"/>
  <c r="E53" i="3"/>
  <c r="E53" i="7" s="1"/>
  <c r="D53" i="3"/>
  <c r="D53" i="7" s="1"/>
  <c r="C53" i="3"/>
  <c r="C53" i="7" s="1"/>
  <c r="A53" i="3"/>
  <c r="A53" i="7" s="1"/>
  <c r="O52" i="3"/>
  <c r="O52" i="7" s="1"/>
  <c r="L52" i="3"/>
  <c r="L52" i="7" s="1"/>
  <c r="K52" i="3"/>
  <c r="K52" i="7" s="1"/>
  <c r="J52" i="3"/>
  <c r="J52" i="7" s="1"/>
  <c r="I52" i="3"/>
  <c r="I52" i="7" s="1"/>
  <c r="H52" i="3"/>
  <c r="H52" i="7" s="1"/>
  <c r="G52" i="3"/>
  <c r="G52" i="7" s="1"/>
  <c r="F52" i="3"/>
  <c r="F52" i="7" s="1"/>
  <c r="E52" i="3"/>
  <c r="E52" i="7" s="1"/>
  <c r="D52" i="3"/>
  <c r="D52" i="7" s="1"/>
  <c r="C52" i="3"/>
  <c r="C52" i="7" s="1"/>
  <c r="A52" i="3"/>
  <c r="A52" i="7" s="1"/>
  <c r="L51" i="3"/>
  <c r="L51" i="7" s="1"/>
  <c r="K51" i="3"/>
  <c r="K51" i="7" s="1"/>
  <c r="J51" i="3"/>
  <c r="J51" i="7" s="1"/>
  <c r="I51" i="3"/>
  <c r="I51" i="7" s="1"/>
  <c r="H51" i="3"/>
  <c r="H51" i="7" s="1"/>
  <c r="G51" i="3"/>
  <c r="G51" i="7" s="1"/>
  <c r="F51" i="3"/>
  <c r="F51" i="7" s="1"/>
  <c r="E51" i="3"/>
  <c r="E51" i="7" s="1"/>
  <c r="D51" i="3"/>
  <c r="C51" i="3"/>
  <c r="C51" i="7" s="1"/>
  <c r="A51" i="3"/>
  <c r="A51" i="7" s="1"/>
  <c r="O50" i="3"/>
  <c r="O50" i="7" s="1"/>
  <c r="L50" i="3"/>
  <c r="L50" i="7" s="1"/>
  <c r="K50" i="3"/>
  <c r="K50" i="7" s="1"/>
  <c r="J50" i="3"/>
  <c r="J50" i="7" s="1"/>
  <c r="I50" i="3"/>
  <c r="I50" i="7" s="1"/>
  <c r="H50" i="3"/>
  <c r="H50" i="7" s="1"/>
  <c r="G50" i="3"/>
  <c r="G50" i="7" s="1"/>
  <c r="F50" i="3"/>
  <c r="F50" i="7" s="1"/>
  <c r="E50" i="3"/>
  <c r="E50" i="7" s="1"/>
  <c r="D50" i="3"/>
  <c r="D50" i="7" s="1"/>
  <c r="C50" i="3"/>
  <c r="C50" i="7" s="1"/>
  <c r="A50" i="3"/>
  <c r="A50" i="7" s="1"/>
  <c r="O49" i="3"/>
  <c r="O49" i="7" s="1"/>
  <c r="L49" i="3"/>
  <c r="L49" i="7" s="1"/>
  <c r="K49" i="3"/>
  <c r="K49" i="7" s="1"/>
  <c r="J49" i="3"/>
  <c r="J49" i="7" s="1"/>
  <c r="I49" i="3"/>
  <c r="I49" i="7" s="1"/>
  <c r="H49" i="3"/>
  <c r="H49" i="7" s="1"/>
  <c r="G49" i="3"/>
  <c r="G49" i="7" s="1"/>
  <c r="F49" i="3"/>
  <c r="F49" i="7" s="1"/>
  <c r="E49" i="3"/>
  <c r="E49" i="7" s="1"/>
  <c r="D49" i="3"/>
  <c r="D49" i="7" s="1"/>
  <c r="C49" i="3"/>
  <c r="C49" i="7" s="1"/>
  <c r="A49" i="3"/>
  <c r="A49" i="7" s="1"/>
  <c r="O48" i="3"/>
  <c r="O48" i="7" s="1"/>
  <c r="L48" i="3"/>
  <c r="L48" i="7" s="1"/>
  <c r="K48" i="3"/>
  <c r="K48" i="7" s="1"/>
  <c r="J48" i="3"/>
  <c r="J48" i="7" s="1"/>
  <c r="I48" i="3"/>
  <c r="I48" i="7" s="1"/>
  <c r="H48" i="3"/>
  <c r="H48" i="7" s="1"/>
  <c r="G48" i="3"/>
  <c r="G48" i="7" s="1"/>
  <c r="F48" i="3"/>
  <c r="F48" i="7" s="1"/>
  <c r="E48" i="3"/>
  <c r="E48" i="7" s="1"/>
  <c r="D48" i="3"/>
  <c r="D48" i="7" s="1"/>
  <c r="C48" i="3"/>
  <c r="C48" i="7" s="1"/>
  <c r="A48" i="3"/>
  <c r="A48" i="7" s="1"/>
  <c r="O47" i="3"/>
  <c r="O47" i="7" s="1"/>
  <c r="L47" i="3"/>
  <c r="L47" i="7" s="1"/>
  <c r="K47" i="3"/>
  <c r="K47" i="7" s="1"/>
  <c r="J47" i="3"/>
  <c r="J47" i="7" s="1"/>
  <c r="I47" i="3"/>
  <c r="I47" i="7" s="1"/>
  <c r="H47" i="3"/>
  <c r="H47" i="7" s="1"/>
  <c r="G47" i="3"/>
  <c r="G47" i="7" s="1"/>
  <c r="F47" i="3"/>
  <c r="F47" i="7" s="1"/>
  <c r="E47" i="3"/>
  <c r="E47" i="7" s="1"/>
  <c r="D47" i="3"/>
  <c r="D47" i="7" s="1"/>
  <c r="C47" i="3"/>
  <c r="C47" i="7" s="1"/>
  <c r="A47" i="3"/>
  <c r="A47" i="7" s="1"/>
  <c r="O46" i="3"/>
  <c r="O46" i="7" s="1"/>
  <c r="L46" i="3"/>
  <c r="L46" i="7" s="1"/>
  <c r="K46" i="3"/>
  <c r="K46" i="7" s="1"/>
  <c r="J46" i="3"/>
  <c r="J46" i="7" s="1"/>
  <c r="I46" i="3"/>
  <c r="I46" i="7" s="1"/>
  <c r="H46" i="3"/>
  <c r="H46" i="7" s="1"/>
  <c r="G46" i="3"/>
  <c r="G46" i="7" s="1"/>
  <c r="F46" i="3"/>
  <c r="F46" i="7" s="1"/>
  <c r="E46" i="3"/>
  <c r="E46" i="7" s="1"/>
  <c r="D46" i="3"/>
  <c r="D46" i="7" s="1"/>
  <c r="C46" i="3"/>
  <c r="C46" i="7" s="1"/>
  <c r="A46" i="3"/>
  <c r="A46" i="7" s="1"/>
  <c r="O45" i="3"/>
  <c r="O45" i="7" s="1"/>
  <c r="L45" i="3"/>
  <c r="L45" i="7" s="1"/>
  <c r="K45" i="3"/>
  <c r="K45" i="7" s="1"/>
  <c r="J45" i="3"/>
  <c r="J45" i="7" s="1"/>
  <c r="I45" i="3"/>
  <c r="I45" i="7" s="1"/>
  <c r="H45" i="3"/>
  <c r="H45" i="7" s="1"/>
  <c r="G45" i="3"/>
  <c r="G45" i="7" s="1"/>
  <c r="F45" i="3"/>
  <c r="F45" i="7" s="1"/>
  <c r="E45" i="3"/>
  <c r="E45" i="7" s="1"/>
  <c r="D45" i="3"/>
  <c r="D45" i="7" s="1"/>
  <c r="C45" i="3"/>
  <c r="C45" i="7" s="1"/>
  <c r="A45" i="3"/>
  <c r="A45" i="7" s="1"/>
  <c r="O44" i="3"/>
  <c r="O44" i="7" s="1"/>
  <c r="L44" i="3"/>
  <c r="L44" i="7" s="1"/>
  <c r="K44" i="3"/>
  <c r="K44" i="7" s="1"/>
  <c r="J44" i="3"/>
  <c r="J44" i="7" s="1"/>
  <c r="I44" i="3"/>
  <c r="I44" i="7" s="1"/>
  <c r="H44" i="3"/>
  <c r="H44" i="7" s="1"/>
  <c r="G44" i="3"/>
  <c r="G44" i="7" s="1"/>
  <c r="F44" i="3"/>
  <c r="F44" i="7" s="1"/>
  <c r="E44" i="3"/>
  <c r="E44" i="7" s="1"/>
  <c r="D44" i="3"/>
  <c r="D44" i="7" s="1"/>
  <c r="C44" i="3"/>
  <c r="C44" i="7" s="1"/>
  <c r="A44" i="3"/>
  <c r="A44" i="7" s="1"/>
  <c r="O43" i="3"/>
  <c r="O43" i="7" s="1"/>
  <c r="L43" i="3"/>
  <c r="L43" i="7" s="1"/>
  <c r="K43" i="3"/>
  <c r="K43" i="7" s="1"/>
  <c r="J43" i="3"/>
  <c r="J43" i="7" s="1"/>
  <c r="I43" i="3"/>
  <c r="I43" i="7" s="1"/>
  <c r="H43" i="3"/>
  <c r="H43" i="7" s="1"/>
  <c r="G43" i="3"/>
  <c r="G43" i="7" s="1"/>
  <c r="F43" i="3"/>
  <c r="F43" i="7" s="1"/>
  <c r="E43" i="3"/>
  <c r="E43" i="7" s="1"/>
  <c r="D43" i="3"/>
  <c r="D43" i="7" s="1"/>
  <c r="C43" i="3"/>
  <c r="C43" i="7" s="1"/>
  <c r="A43" i="3"/>
  <c r="A43" i="7" s="1"/>
  <c r="O42" i="3"/>
  <c r="O42" i="7" s="1"/>
  <c r="L42" i="3"/>
  <c r="L42" i="7" s="1"/>
  <c r="K42" i="3"/>
  <c r="K42" i="7" s="1"/>
  <c r="J42" i="3"/>
  <c r="J42" i="7" s="1"/>
  <c r="I42" i="3"/>
  <c r="I42" i="7" s="1"/>
  <c r="H42" i="3"/>
  <c r="H42" i="7" s="1"/>
  <c r="G42" i="3"/>
  <c r="G42" i="7" s="1"/>
  <c r="F42" i="3"/>
  <c r="F42" i="7" s="1"/>
  <c r="E42" i="3"/>
  <c r="E42" i="7" s="1"/>
  <c r="D42" i="3"/>
  <c r="D42" i="7" s="1"/>
  <c r="C42" i="3"/>
  <c r="C42" i="7" s="1"/>
  <c r="A42" i="3"/>
  <c r="A42" i="7" s="1"/>
  <c r="O41" i="3"/>
  <c r="O41" i="7" s="1"/>
  <c r="L41" i="3"/>
  <c r="L41" i="7" s="1"/>
  <c r="K41" i="3"/>
  <c r="K41" i="7" s="1"/>
  <c r="J41" i="3"/>
  <c r="J41" i="7" s="1"/>
  <c r="I41" i="3"/>
  <c r="I41" i="7" s="1"/>
  <c r="H41" i="3"/>
  <c r="H41" i="7" s="1"/>
  <c r="G41" i="3"/>
  <c r="G41" i="7" s="1"/>
  <c r="F41" i="3"/>
  <c r="F41" i="7" s="1"/>
  <c r="E41" i="3"/>
  <c r="E41" i="7" s="1"/>
  <c r="D41" i="3"/>
  <c r="D41" i="7" s="1"/>
  <c r="C41" i="3"/>
  <c r="C41" i="7" s="1"/>
  <c r="A41" i="3"/>
  <c r="A41" i="7" s="1"/>
  <c r="O40" i="3"/>
  <c r="O40" i="7" s="1"/>
  <c r="L40" i="3"/>
  <c r="L40" i="7" s="1"/>
  <c r="K40" i="3"/>
  <c r="K40" i="7" s="1"/>
  <c r="J40" i="3"/>
  <c r="J40" i="7" s="1"/>
  <c r="I40" i="3"/>
  <c r="I40" i="7" s="1"/>
  <c r="H40" i="3"/>
  <c r="H40" i="7" s="1"/>
  <c r="G40" i="3"/>
  <c r="G40" i="7" s="1"/>
  <c r="F40" i="3"/>
  <c r="F40" i="7" s="1"/>
  <c r="E40" i="3"/>
  <c r="E40" i="7" s="1"/>
  <c r="D40" i="3"/>
  <c r="D40" i="7" s="1"/>
  <c r="C40" i="3"/>
  <c r="C40" i="7" s="1"/>
  <c r="A40" i="3"/>
  <c r="A40" i="7" s="1"/>
  <c r="O39" i="3"/>
  <c r="O39" i="7" s="1"/>
  <c r="L39" i="3"/>
  <c r="L39" i="7" s="1"/>
  <c r="K39" i="3"/>
  <c r="K39" i="7" s="1"/>
  <c r="J39" i="3"/>
  <c r="J39" i="7" s="1"/>
  <c r="I39" i="3"/>
  <c r="I39" i="7" s="1"/>
  <c r="H39" i="3"/>
  <c r="H39" i="7" s="1"/>
  <c r="G39" i="3"/>
  <c r="G39" i="7" s="1"/>
  <c r="F39" i="3"/>
  <c r="F39" i="7" s="1"/>
  <c r="E39" i="3"/>
  <c r="E39" i="7" s="1"/>
  <c r="D39" i="3"/>
  <c r="D39" i="7" s="1"/>
  <c r="C39" i="3"/>
  <c r="C39" i="7" s="1"/>
  <c r="A39" i="3"/>
  <c r="A39" i="7" s="1"/>
  <c r="O38" i="3"/>
  <c r="O38" i="7" s="1"/>
  <c r="L38" i="3"/>
  <c r="L38" i="7" s="1"/>
  <c r="K38" i="3"/>
  <c r="K38" i="7" s="1"/>
  <c r="J38" i="3"/>
  <c r="J38" i="7" s="1"/>
  <c r="I38" i="3"/>
  <c r="I38" i="7" s="1"/>
  <c r="H38" i="3"/>
  <c r="H38" i="7" s="1"/>
  <c r="G38" i="3"/>
  <c r="G38" i="7" s="1"/>
  <c r="F38" i="3"/>
  <c r="F38" i="7" s="1"/>
  <c r="E38" i="3"/>
  <c r="E38" i="7" s="1"/>
  <c r="D38" i="3"/>
  <c r="D38" i="7" s="1"/>
  <c r="C38" i="3"/>
  <c r="C38" i="7" s="1"/>
  <c r="A38" i="3"/>
  <c r="A38" i="7" s="1"/>
  <c r="O37" i="3"/>
  <c r="O37" i="7" s="1"/>
  <c r="L37" i="3"/>
  <c r="L37" i="7" s="1"/>
  <c r="K37" i="3"/>
  <c r="K37" i="7" s="1"/>
  <c r="J37" i="3"/>
  <c r="J37" i="7" s="1"/>
  <c r="I37" i="3"/>
  <c r="I37" i="7" s="1"/>
  <c r="H37" i="3"/>
  <c r="H37" i="7" s="1"/>
  <c r="G37" i="3"/>
  <c r="G37" i="7" s="1"/>
  <c r="F37" i="3"/>
  <c r="F37" i="7" s="1"/>
  <c r="E37" i="3"/>
  <c r="E37" i="7" s="1"/>
  <c r="D37" i="3"/>
  <c r="D37" i="7" s="1"/>
  <c r="C37" i="3"/>
  <c r="C37" i="7" s="1"/>
  <c r="A37" i="3"/>
  <c r="A37" i="7" s="1"/>
  <c r="O36" i="3"/>
  <c r="O36" i="7" s="1"/>
  <c r="L36" i="3"/>
  <c r="L36" i="7" s="1"/>
  <c r="K36" i="3"/>
  <c r="K36" i="7" s="1"/>
  <c r="J36" i="3"/>
  <c r="J36" i="7" s="1"/>
  <c r="I36" i="3"/>
  <c r="I36" i="7" s="1"/>
  <c r="H36" i="3"/>
  <c r="H36" i="7" s="1"/>
  <c r="G36" i="3"/>
  <c r="G36" i="7" s="1"/>
  <c r="F36" i="3"/>
  <c r="F36" i="7" s="1"/>
  <c r="E36" i="3"/>
  <c r="E36" i="7" s="1"/>
  <c r="D36" i="3"/>
  <c r="D36" i="7" s="1"/>
  <c r="C36" i="3"/>
  <c r="C36" i="7" s="1"/>
  <c r="A36" i="3"/>
  <c r="A36" i="7" s="1"/>
  <c r="O35" i="3"/>
  <c r="O35" i="7" s="1"/>
  <c r="L35" i="3"/>
  <c r="L35" i="7" s="1"/>
  <c r="K35" i="3"/>
  <c r="K35" i="7" s="1"/>
  <c r="J35" i="3"/>
  <c r="J35" i="7" s="1"/>
  <c r="I35" i="3"/>
  <c r="I35" i="7" s="1"/>
  <c r="H35" i="3"/>
  <c r="H35" i="7" s="1"/>
  <c r="G35" i="3"/>
  <c r="G35" i="7" s="1"/>
  <c r="F35" i="3"/>
  <c r="F35" i="7" s="1"/>
  <c r="E35" i="3"/>
  <c r="E35" i="7" s="1"/>
  <c r="D35" i="3"/>
  <c r="D35" i="7" s="1"/>
  <c r="C35" i="3"/>
  <c r="C35" i="7" s="1"/>
  <c r="A35" i="3"/>
  <c r="A35" i="7" s="1"/>
  <c r="O34" i="3"/>
  <c r="O34" i="7" s="1"/>
  <c r="L34" i="3"/>
  <c r="L34" i="7" s="1"/>
  <c r="K34" i="3"/>
  <c r="K34" i="7" s="1"/>
  <c r="J34" i="3"/>
  <c r="J34" i="7" s="1"/>
  <c r="I34" i="3"/>
  <c r="I34" i="7" s="1"/>
  <c r="H34" i="3"/>
  <c r="H34" i="7" s="1"/>
  <c r="G34" i="3"/>
  <c r="G34" i="7" s="1"/>
  <c r="F34" i="3"/>
  <c r="F34" i="7" s="1"/>
  <c r="E34" i="3"/>
  <c r="E34" i="7" s="1"/>
  <c r="D34" i="3"/>
  <c r="D34" i="7" s="1"/>
  <c r="C34" i="3"/>
  <c r="C34" i="7" s="1"/>
  <c r="A34" i="3"/>
  <c r="A34" i="7" s="1"/>
  <c r="O33" i="3"/>
  <c r="O33" i="7" s="1"/>
  <c r="L33" i="3"/>
  <c r="L33" i="7" s="1"/>
  <c r="K33" i="3"/>
  <c r="K33" i="7" s="1"/>
  <c r="J33" i="3"/>
  <c r="J33" i="7" s="1"/>
  <c r="I33" i="3"/>
  <c r="I33" i="7" s="1"/>
  <c r="H33" i="3"/>
  <c r="H33" i="7" s="1"/>
  <c r="G33" i="3"/>
  <c r="G33" i="7" s="1"/>
  <c r="F33" i="3"/>
  <c r="F33" i="7" s="1"/>
  <c r="E33" i="3"/>
  <c r="E33" i="7" s="1"/>
  <c r="D33" i="3"/>
  <c r="D33" i="7" s="1"/>
  <c r="C33" i="3"/>
  <c r="C33" i="7" s="1"/>
  <c r="A33" i="3"/>
  <c r="A33" i="7" s="1"/>
  <c r="O32" i="3"/>
  <c r="O32" i="7" s="1"/>
  <c r="L32" i="3"/>
  <c r="L32" i="7" s="1"/>
  <c r="K32" i="3"/>
  <c r="K32" i="7" s="1"/>
  <c r="J32" i="3"/>
  <c r="J32" i="7" s="1"/>
  <c r="I32" i="3"/>
  <c r="I32" i="7" s="1"/>
  <c r="H32" i="3"/>
  <c r="H32" i="7" s="1"/>
  <c r="G32" i="3"/>
  <c r="G32" i="7" s="1"/>
  <c r="F32" i="3"/>
  <c r="F32" i="7" s="1"/>
  <c r="E32" i="3"/>
  <c r="E32" i="7" s="1"/>
  <c r="D32" i="3"/>
  <c r="D32" i="7" s="1"/>
  <c r="C32" i="3"/>
  <c r="C32" i="7" s="1"/>
  <c r="A32" i="3"/>
  <c r="A32" i="7" s="1"/>
  <c r="O31" i="3"/>
  <c r="O31" i="7" s="1"/>
  <c r="L31" i="3"/>
  <c r="L31" i="7" s="1"/>
  <c r="K31" i="3"/>
  <c r="K31" i="7" s="1"/>
  <c r="J31" i="3"/>
  <c r="J31" i="7" s="1"/>
  <c r="I31" i="3"/>
  <c r="I31" i="7" s="1"/>
  <c r="H31" i="3"/>
  <c r="H31" i="7" s="1"/>
  <c r="G31" i="3"/>
  <c r="G31" i="7" s="1"/>
  <c r="F31" i="3"/>
  <c r="F31" i="7" s="1"/>
  <c r="E31" i="3"/>
  <c r="E31" i="7" s="1"/>
  <c r="D31" i="3"/>
  <c r="D31" i="7" s="1"/>
  <c r="C31" i="3"/>
  <c r="C31" i="7" s="1"/>
  <c r="A31" i="3"/>
  <c r="A31" i="7" s="1"/>
  <c r="O30" i="3"/>
  <c r="O30" i="7" s="1"/>
  <c r="L30" i="3"/>
  <c r="L30" i="7" s="1"/>
  <c r="K30" i="3"/>
  <c r="K30" i="7" s="1"/>
  <c r="J30" i="3"/>
  <c r="J30" i="7" s="1"/>
  <c r="I30" i="3"/>
  <c r="I30" i="7" s="1"/>
  <c r="H30" i="3"/>
  <c r="H30" i="7" s="1"/>
  <c r="G30" i="3"/>
  <c r="G30" i="7" s="1"/>
  <c r="F30" i="3"/>
  <c r="F30" i="7" s="1"/>
  <c r="E30" i="3"/>
  <c r="E30" i="7" s="1"/>
  <c r="D30" i="3"/>
  <c r="D30" i="7" s="1"/>
  <c r="C30" i="3"/>
  <c r="C30" i="7" s="1"/>
  <c r="A30" i="3"/>
  <c r="A30" i="7" s="1"/>
  <c r="O29" i="3"/>
  <c r="O29" i="7" s="1"/>
  <c r="L29" i="3"/>
  <c r="L29" i="7" s="1"/>
  <c r="K29" i="3"/>
  <c r="K29" i="7" s="1"/>
  <c r="J29" i="3"/>
  <c r="J29" i="7" s="1"/>
  <c r="I29" i="3"/>
  <c r="I29" i="7" s="1"/>
  <c r="H29" i="3"/>
  <c r="H29" i="7" s="1"/>
  <c r="G29" i="3"/>
  <c r="G29" i="7" s="1"/>
  <c r="F29" i="3"/>
  <c r="F29" i="7" s="1"/>
  <c r="E29" i="3"/>
  <c r="E29" i="7" s="1"/>
  <c r="D29" i="3"/>
  <c r="D29" i="7" s="1"/>
  <c r="C29" i="3"/>
  <c r="C29" i="7" s="1"/>
  <c r="A29" i="3"/>
  <c r="A29" i="7" s="1"/>
  <c r="O28" i="3"/>
  <c r="O28" i="7" s="1"/>
  <c r="L28" i="3"/>
  <c r="L28" i="7" s="1"/>
  <c r="K28" i="3"/>
  <c r="K28" i="7" s="1"/>
  <c r="J28" i="3"/>
  <c r="J28" i="7" s="1"/>
  <c r="I28" i="3"/>
  <c r="I28" i="7" s="1"/>
  <c r="H28" i="3"/>
  <c r="H28" i="7" s="1"/>
  <c r="G28" i="3"/>
  <c r="G28" i="7" s="1"/>
  <c r="F28" i="3"/>
  <c r="F28" i="7" s="1"/>
  <c r="E28" i="3"/>
  <c r="E28" i="7" s="1"/>
  <c r="D28" i="3"/>
  <c r="D28" i="7" s="1"/>
  <c r="C28" i="3"/>
  <c r="C28" i="7" s="1"/>
  <c r="A28" i="3"/>
  <c r="A28" i="7" s="1"/>
  <c r="O27" i="3"/>
  <c r="O27" i="7" s="1"/>
  <c r="L27" i="3"/>
  <c r="L27" i="7" s="1"/>
  <c r="K27" i="3"/>
  <c r="K27" i="7" s="1"/>
  <c r="J27" i="3"/>
  <c r="J27" i="7" s="1"/>
  <c r="I27" i="3"/>
  <c r="I27" i="7" s="1"/>
  <c r="H27" i="3"/>
  <c r="H27" i="7" s="1"/>
  <c r="G27" i="3"/>
  <c r="G27" i="7" s="1"/>
  <c r="F27" i="3"/>
  <c r="F27" i="7" s="1"/>
  <c r="E27" i="3"/>
  <c r="E27" i="7" s="1"/>
  <c r="D27" i="3"/>
  <c r="D27" i="7" s="1"/>
  <c r="C27" i="3"/>
  <c r="C27" i="7" s="1"/>
  <c r="A27" i="3"/>
  <c r="A27" i="7" s="1"/>
  <c r="O26" i="3"/>
  <c r="O26" i="7" s="1"/>
  <c r="L26" i="3"/>
  <c r="L26" i="7" s="1"/>
  <c r="K26" i="3"/>
  <c r="K26" i="7" s="1"/>
  <c r="J26" i="3"/>
  <c r="J26" i="7" s="1"/>
  <c r="I26" i="3"/>
  <c r="I26" i="7" s="1"/>
  <c r="H26" i="3"/>
  <c r="H26" i="7" s="1"/>
  <c r="G26" i="3"/>
  <c r="G26" i="7" s="1"/>
  <c r="F26" i="3"/>
  <c r="F26" i="7" s="1"/>
  <c r="E26" i="3"/>
  <c r="E26" i="7" s="1"/>
  <c r="D26" i="3"/>
  <c r="D26" i="7" s="1"/>
  <c r="C26" i="3"/>
  <c r="C26" i="7" s="1"/>
  <c r="A26" i="3"/>
  <c r="A26" i="7" s="1"/>
  <c r="O25" i="3"/>
  <c r="O25" i="7" s="1"/>
  <c r="L25" i="3"/>
  <c r="L25" i="7" s="1"/>
  <c r="K25" i="3"/>
  <c r="K25" i="7" s="1"/>
  <c r="J25" i="3"/>
  <c r="J25" i="7" s="1"/>
  <c r="I25" i="3"/>
  <c r="I25" i="7" s="1"/>
  <c r="H25" i="3"/>
  <c r="H25" i="7" s="1"/>
  <c r="G25" i="3"/>
  <c r="G25" i="7" s="1"/>
  <c r="F25" i="3"/>
  <c r="F25" i="7" s="1"/>
  <c r="E25" i="3"/>
  <c r="E25" i="7" s="1"/>
  <c r="D25" i="3"/>
  <c r="D25" i="7" s="1"/>
  <c r="C25" i="3"/>
  <c r="C25" i="7" s="1"/>
  <c r="A25" i="3"/>
  <c r="A25" i="7" s="1"/>
  <c r="O24" i="3"/>
  <c r="O24" i="7" s="1"/>
  <c r="L24" i="3"/>
  <c r="L24" i="7" s="1"/>
  <c r="K24" i="3"/>
  <c r="K24" i="7" s="1"/>
  <c r="J24" i="3"/>
  <c r="J24" i="7" s="1"/>
  <c r="I24" i="3"/>
  <c r="I24" i="7" s="1"/>
  <c r="H24" i="3"/>
  <c r="H24" i="7" s="1"/>
  <c r="G24" i="3"/>
  <c r="G24" i="7" s="1"/>
  <c r="F24" i="3"/>
  <c r="F24" i="7" s="1"/>
  <c r="E24" i="3"/>
  <c r="E24" i="7" s="1"/>
  <c r="D24" i="3"/>
  <c r="D24" i="7" s="1"/>
  <c r="C24" i="3"/>
  <c r="C24" i="7" s="1"/>
  <c r="A24" i="3"/>
  <c r="A24" i="7" s="1"/>
  <c r="O23" i="3"/>
  <c r="O23" i="7" s="1"/>
  <c r="L23" i="3"/>
  <c r="L23" i="7" s="1"/>
  <c r="K23" i="3"/>
  <c r="K23" i="7" s="1"/>
  <c r="J23" i="3"/>
  <c r="J23" i="7" s="1"/>
  <c r="I23" i="3"/>
  <c r="I23" i="7" s="1"/>
  <c r="H23" i="3"/>
  <c r="H23" i="7" s="1"/>
  <c r="G23" i="3"/>
  <c r="G23" i="7" s="1"/>
  <c r="F23" i="3"/>
  <c r="F23" i="7" s="1"/>
  <c r="E23" i="3"/>
  <c r="E23" i="7" s="1"/>
  <c r="D23" i="3"/>
  <c r="D23" i="7" s="1"/>
  <c r="C23" i="3"/>
  <c r="C23" i="7" s="1"/>
  <c r="A23" i="3"/>
  <c r="A23" i="7" s="1"/>
  <c r="O22" i="3"/>
  <c r="O22" i="7" s="1"/>
  <c r="L22" i="3"/>
  <c r="L22" i="7" s="1"/>
  <c r="K22" i="3"/>
  <c r="K22" i="7" s="1"/>
  <c r="J22" i="3"/>
  <c r="J22" i="7" s="1"/>
  <c r="I22" i="3"/>
  <c r="I22" i="7" s="1"/>
  <c r="H22" i="3"/>
  <c r="H22" i="7" s="1"/>
  <c r="G22" i="3"/>
  <c r="G22" i="7" s="1"/>
  <c r="F22" i="3"/>
  <c r="F22" i="7" s="1"/>
  <c r="E22" i="3"/>
  <c r="E22" i="7" s="1"/>
  <c r="D22" i="3"/>
  <c r="D22" i="7" s="1"/>
  <c r="C22" i="3"/>
  <c r="C22" i="7" s="1"/>
  <c r="A22" i="3"/>
  <c r="A22" i="7" s="1"/>
  <c r="O21" i="3"/>
  <c r="O21" i="7" s="1"/>
  <c r="L21" i="3"/>
  <c r="L21" i="7" s="1"/>
  <c r="K21" i="3"/>
  <c r="K21" i="7" s="1"/>
  <c r="J21" i="3"/>
  <c r="J21" i="7" s="1"/>
  <c r="I21" i="3"/>
  <c r="I21" i="7" s="1"/>
  <c r="H21" i="3"/>
  <c r="H21" i="7" s="1"/>
  <c r="G21" i="3"/>
  <c r="G21" i="7" s="1"/>
  <c r="F21" i="3"/>
  <c r="F21" i="7" s="1"/>
  <c r="E21" i="3"/>
  <c r="E21" i="7" s="1"/>
  <c r="D21" i="3"/>
  <c r="D21" i="7" s="1"/>
  <c r="C21" i="3"/>
  <c r="C21" i="7" s="1"/>
  <c r="A21" i="3"/>
  <c r="A21" i="7" s="1"/>
  <c r="O20" i="3"/>
  <c r="O20" i="7" s="1"/>
  <c r="L20" i="3"/>
  <c r="L20" i="7" s="1"/>
  <c r="K20" i="3"/>
  <c r="K20" i="7" s="1"/>
  <c r="J20" i="3"/>
  <c r="J20" i="7" s="1"/>
  <c r="I20" i="3"/>
  <c r="I20" i="7" s="1"/>
  <c r="H20" i="3"/>
  <c r="H20" i="7" s="1"/>
  <c r="G20" i="3"/>
  <c r="G20" i="7" s="1"/>
  <c r="F20" i="3"/>
  <c r="F20" i="7" s="1"/>
  <c r="E20" i="3"/>
  <c r="E20" i="7" s="1"/>
  <c r="D20" i="3"/>
  <c r="D20" i="7" s="1"/>
  <c r="C20" i="3"/>
  <c r="C20" i="7" s="1"/>
  <c r="A20" i="3"/>
  <c r="A20" i="7" s="1"/>
  <c r="O19" i="3"/>
  <c r="O19" i="7" s="1"/>
  <c r="L19" i="3"/>
  <c r="L19" i="7" s="1"/>
  <c r="K19" i="3"/>
  <c r="K19" i="7" s="1"/>
  <c r="J19" i="3"/>
  <c r="J19" i="7" s="1"/>
  <c r="I19" i="3"/>
  <c r="I19" i="7" s="1"/>
  <c r="H19" i="3"/>
  <c r="H19" i="7" s="1"/>
  <c r="G19" i="3"/>
  <c r="G19" i="7" s="1"/>
  <c r="F19" i="3"/>
  <c r="F19" i="7" s="1"/>
  <c r="E19" i="3"/>
  <c r="E19" i="7" s="1"/>
  <c r="D19" i="3"/>
  <c r="D19" i="7" s="1"/>
  <c r="C19" i="3"/>
  <c r="C19" i="7" s="1"/>
  <c r="A19" i="3"/>
  <c r="A19" i="7" s="1"/>
  <c r="O18" i="3"/>
  <c r="O18" i="7" s="1"/>
  <c r="L18" i="3"/>
  <c r="L18" i="7" s="1"/>
  <c r="K18" i="3"/>
  <c r="K18" i="7" s="1"/>
  <c r="J18" i="3"/>
  <c r="J18" i="7" s="1"/>
  <c r="I18" i="3"/>
  <c r="I18" i="7" s="1"/>
  <c r="H18" i="3"/>
  <c r="H18" i="7" s="1"/>
  <c r="G18" i="3"/>
  <c r="G18" i="7" s="1"/>
  <c r="F18" i="3"/>
  <c r="F18" i="7" s="1"/>
  <c r="E18" i="3"/>
  <c r="E18" i="7" s="1"/>
  <c r="D18" i="3"/>
  <c r="D18" i="7" s="1"/>
  <c r="C18" i="3"/>
  <c r="C18" i="7" s="1"/>
  <c r="A18" i="3"/>
  <c r="A18" i="7" s="1"/>
  <c r="O17" i="3"/>
  <c r="O17" i="7" s="1"/>
  <c r="L17" i="3"/>
  <c r="L17" i="7" s="1"/>
  <c r="K17" i="3"/>
  <c r="K17" i="7" s="1"/>
  <c r="J17" i="3"/>
  <c r="J17" i="7" s="1"/>
  <c r="I17" i="3"/>
  <c r="I17" i="7" s="1"/>
  <c r="H17" i="3"/>
  <c r="H17" i="7" s="1"/>
  <c r="G17" i="3"/>
  <c r="G17" i="7" s="1"/>
  <c r="F17" i="3"/>
  <c r="F17" i="7" s="1"/>
  <c r="E17" i="3"/>
  <c r="E17" i="7" s="1"/>
  <c r="D17" i="3"/>
  <c r="D17" i="7" s="1"/>
  <c r="C17" i="3"/>
  <c r="C17" i="7" s="1"/>
  <c r="A17" i="3"/>
  <c r="A17" i="7" s="1"/>
  <c r="O16" i="3"/>
  <c r="O16" i="7" s="1"/>
  <c r="L16" i="3"/>
  <c r="L16" i="7" s="1"/>
  <c r="K16" i="3"/>
  <c r="K16" i="7" s="1"/>
  <c r="J16" i="3"/>
  <c r="J16" i="7" s="1"/>
  <c r="I16" i="3"/>
  <c r="I16" i="7" s="1"/>
  <c r="H16" i="3"/>
  <c r="H16" i="7" s="1"/>
  <c r="G16" i="3"/>
  <c r="G16" i="7" s="1"/>
  <c r="F16" i="3"/>
  <c r="F16" i="7" s="1"/>
  <c r="E16" i="3"/>
  <c r="E16" i="7" s="1"/>
  <c r="D16" i="3"/>
  <c r="D16" i="7" s="1"/>
  <c r="C16" i="3"/>
  <c r="C16" i="7" s="1"/>
  <c r="A16" i="3"/>
  <c r="A16" i="7" s="1"/>
  <c r="O15" i="3"/>
  <c r="O15" i="7" s="1"/>
  <c r="L15" i="3"/>
  <c r="L15" i="7" s="1"/>
  <c r="K15" i="3"/>
  <c r="K15" i="7" s="1"/>
  <c r="J15" i="3"/>
  <c r="J15" i="7" s="1"/>
  <c r="I15" i="3"/>
  <c r="I15" i="7" s="1"/>
  <c r="H15" i="3"/>
  <c r="H15" i="7" s="1"/>
  <c r="G15" i="3"/>
  <c r="G15" i="7" s="1"/>
  <c r="F15" i="3"/>
  <c r="F15" i="7" s="1"/>
  <c r="E15" i="3"/>
  <c r="E15" i="7" s="1"/>
  <c r="D15" i="3"/>
  <c r="D15" i="7" s="1"/>
  <c r="C15" i="3"/>
  <c r="C15" i="7" s="1"/>
  <c r="A15" i="3"/>
  <c r="A15" i="7" s="1"/>
  <c r="O14" i="3"/>
  <c r="O14" i="7" s="1"/>
  <c r="L14" i="3"/>
  <c r="L14" i="7" s="1"/>
  <c r="K14" i="3"/>
  <c r="K14" i="7" s="1"/>
  <c r="J14" i="3"/>
  <c r="J14" i="7" s="1"/>
  <c r="I14" i="3"/>
  <c r="I14" i="7" s="1"/>
  <c r="H14" i="3"/>
  <c r="H14" i="7" s="1"/>
  <c r="G14" i="3"/>
  <c r="G14" i="7" s="1"/>
  <c r="F14" i="3"/>
  <c r="F14" i="7" s="1"/>
  <c r="E14" i="3"/>
  <c r="E14" i="7" s="1"/>
  <c r="D14" i="3"/>
  <c r="D14" i="7" s="1"/>
  <c r="C14" i="3"/>
  <c r="C14" i="7" s="1"/>
  <c r="A14" i="3"/>
  <c r="A14" i="7" s="1"/>
  <c r="O13" i="3"/>
  <c r="O13" i="7" s="1"/>
  <c r="L13" i="3"/>
  <c r="L13" i="7" s="1"/>
  <c r="K13" i="3"/>
  <c r="K13" i="7" s="1"/>
  <c r="J13" i="3"/>
  <c r="J13" i="7" s="1"/>
  <c r="I13" i="3"/>
  <c r="I13" i="7" s="1"/>
  <c r="H13" i="3"/>
  <c r="H13" i="7" s="1"/>
  <c r="G13" i="3"/>
  <c r="G13" i="7" s="1"/>
  <c r="F13" i="3"/>
  <c r="F13" i="7" s="1"/>
  <c r="E13" i="3"/>
  <c r="E13" i="7" s="1"/>
  <c r="D13" i="3"/>
  <c r="D13" i="7" s="1"/>
  <c r="C13" i="3"/>
  <c r="C13" i="7" s="1"/>
  <c r="A13" i="3"/>
  <c r="A13" i="7" s="1"/>
  <c r="O12" i="3"/>
  <c r="O12" i="7" s="1"/>
  <c r="L12" i="3"/>
  <c r="L12" i="7" s="1"/>
  <c r="K12" i="3"/>
  <c r="K12" i="7" s="1"/>
  <c r="J12" i="3"/>
  <c r="J12" i="7" s="1"/>
  <c r="I12" i="3"/>
  <c r="I12" i="7" s="1"/>
  <c r="H12" i="3"/>
  <c r="H12" i="7" s="1"/>
  <c r="G12" i="3"/>
  <c r="G12" i="7" s="1"/>
  <c r="F12" i="3"/>
  <c r="F12" i="7" s="1"/>
  <c r="E12" i="3"/>
  <c r="E12" i="7" s="1"/>
  <c r="D12" i="3"/>
  <c r="D12" i="7" s="1"/>
  <c r="C12" i="3"/>
  <c r="C12" i="7" s="1"/>
  <c r="A12" i="3"/>
  <c r="A12" i="7" s="1"/>
  <c r="O11" i="3"/>
  <c r="O11" i="7" s="1"/>
  <c r="L11" i="3"/>
  <c r="L11" i="7" s="1"/>
  <c r="K11" i="3"/>
  <c r="K11" i="7" s="1"/>
  <c r="J11" i="3"/>
  <c r="J11" i="7" s="1"/>
  <c r="I11" i="3"/>
  <c r="I11" i="7" s="1"/>
  <c r="H11" i="3"/>
  <c r="H11" i="7" s="1"/>
  <c r="G11" i="3"/>
  <c r="G11" i="7" s="1"/>
  <c r="F11" i="3"/>
  <c r="F11" i="7" s="1"/>
  <c r="E11" i="3"/>
  <c r="E11" i="7" s="1"/>
  <c r="D11" i="3"/>
  <c r="D11" i="7" s="1"/>
  <c r="C11" i="3"/>
  <c r="C11" i="7" s="1"/>
  <c r="A11" i="3"/>
  <c r="A11" i="7" s="1"/>
  <c r="O10" i="3"/>
  <c r="O10" i="7" s="1"/>
  <c r="L10" i="3"/>
  <c r="L10" i="7" s="1"/>
  <c r="K10" i="3"/>
  <c r="K10" i="7" s="1"/>
  <c r="J10" i="3"/>
  <c r="J10" i="7" s="1"/>
  <c r="I10" i="3"/>
  <c r="I10" i="7" s="1"/>
  <c r="H10" i="3"/>
  <c r="H10" i="7" s="1"/>
  <c r="G10" i="3"/>
  <c r="G10" i="7" s="1"/>
  <c r="F10" i="3"/>
  <c r="F10" i="7" s="1"/>
  <c r="E10" i="3"/>
  <c r="E10" i="7" s="1"/>
  <c r="D10" i="3"/>
  <c r="D10" i="7" s="1"/>
  <c r="C10" i="3"/>
  <c r="C10" i="7" s="1"/>
  <c r="A10" i="3"/>
  <c r="A10" i="7" s="1"/>
  <c r="O9" i="3"/>
  <c r="O9" i="7" s="1"/>
  <c r="L9" i="3"/>
  <c r="L9" i="7" s="1"/>
  <c r="K9" i="3"/>
  <c r="K9" i="7" s="1"/>
  <c r="J9" i="3"/>
  <c r="J9" i="7" s="1"/>
  <c r="I9" i="3"/>
  <c r="I9" i="7" s="1"/>
  <c r="H9" i="3"/>
  <c r="H9" i="7" s="1"/>
  <c r="G9" i="3"/>
  <c r="G9" i="7" s="1"/>
  <c r="F9" i="3"/>
  <c r="F9" i="7" s="1"/>
  <c r="E9" i="3"/>
  <c r="E9" i="7" s="1"/>
  <c r="D9" i="3"/>
  <c r="D9" i="7" s="1"/>
  <c r="C9" i="3"/>
  <c r="C9" i="7" s="1"/>
  <c r="A9" i="3"/>
  <c r="A9" i="7" s="1"/>
  <c r="O8" i="3"/>
  <c r="O8" i="7" s="1"/>
  <c r="L8" i="3"/>
  <c r="L8" i="7" s="1"/>
  <c r="K8" i="3"/>
  <c r="K8" i="7" s="1"/>
  <c r="J8" i="3"/>
  <c r="J8" i="7" s="1"/>
  <c r="I8" i="3"/>
  <c r="I8" i="7" s="1"/>
  <c r="H8" i="3"/>
  <c r="H8" i="7" s="1"/>
  <c r="G8" i="3"/>
  <c r="G8" i="7" s="1"/>
  <c r="F8" i="3"/>
  <c r="F8" i="7" s="1"/>
  <c r="E8" i="3"/>
  <c r="E8" i="7" s="1"/>
  <c r="D8" i="3"/>
  <c r="D8" i="7" s="1"/>
  <c r="C8" i="3"/>
  <c r="C8" i="7" s="1"/>
  <c r="A8" i="3"/>
  <c r="A8" i="7" s="1"/>
  <c r="O7" i="3"/>
  <c r="O7" i="7" s="1"/>
  <c r="L7" i="3"/>
  <c r="L7" i="7" s="1"/>
  <c r="K7" i="3"/>
  <c r="K7" i="7" s="1"/>
  <c r="J7" i="3"/>
  <c r="J7" i="7" s="1"/>
  <c r="I7" i="3"/>
  <c r="I7" i="7" s="1"/>
  <c r="H7" i="3"/>
  <c r="H7" i="7" s="1"/>
  <c r="G7" i="3"/>
  <c r="G7" i="7" s="1"/>
  <c r="F7" i="3"/>
  <c r="F7" i="7" s="1"/>
  <c r="E7" i="3"/>
  <c r="E7" i="7" s="1"/>
  <c r="D7" i="3"/>
  <c r="D7" i="7" s="1"/>
  <c r="C7" i="3"/>
  <c r="C7" i="7" s="1"/>
  <c r="A7" i="3"/>
  <c r="A7" i="7" s="1"/>
  <c r="O6" i="3"/>
  <c r="O6" i="7" s="1"/>
  <c r="L6" i="3"/>
  <c r="L6" i="7" s="1"/>
  <c r="K6" i="3"/>
  <c r="K6" i="7" s="1"/>
  <c r="J6" i="3"/>
  <c r="J6" i="7" s="1"/>
  <c r="I6" i="3"/>
  <c r="I6" i="7" s="1"/>
  <c r="H6" i="3"/>
  <c r="H6" i="7" s="1"/>
  <c r="G6" i="3"/>
  <c r="G6" i="7" s="1"/>
  <c r="F6" i="3"/>
  <c r="F6" i="7" s="1"/>
  <c r="E6" i="3"/>
  <c r="E6" i="7" s="1"/>
  <c r="D6" i="3"/>
  <c r="D6" i="7" s="1"/>
  <c r="C6" i="3"/>
  <c r="C6" i="7" s="1"/>
  <c r="A6" i="3"/>
  <c r="A6" i="7" s="1"/>
  <c r="O5" i="3"/>
  <c r="O5" i="7" s="1"/>
  <c r="L5" i="3"/>
  <c r="L5" i="7" s="1"/>
  <c r="K5" i="3"/>
  <c r="K5" i="7" s="1"/>
  <c r="J5" i="3"/>
  <c r="J5" i="7" s="1"/>
  <c r="I5" i="3"/>
  <c r="I5" i="7" s="1"/>
  <c r="H5" i="3"/>
  <c r="H5" i="7" s="1"/>
  <c r="G5" i="3"/>
  <c r="G5" i="7" s="1"/>
  <c r="F5" i="3"/>
  <c r="F5" i="7" s="1"/>
  <c r="E5" i="3"/>
  <c r="E5" i="7" s="1"/>
  <c r="D5" i="3"/>
  <c r="D5" i="7" s="1"/>
  <c r="C5" i="3"/>
  <c r="C5" i="7" s="1"/>
  <c r="A5" i="3"/>
  <c r="A5" i="7" s="1"/>
  <c r="O4" i="3"/>
  <c r="O4" i="7" s="1"/>
  <c r="L4" i="3"/>
  <c r="L4" i="7" s="1"/>
  <c r="K4" i="3"/>
  <c r="K4" i="7" s="1"/>
  <c r="J4" i="3"/>
  <c r="J4" i="7" s="1"/>
  <c r="I4" i="3"/>
  <c r="I4" i="7" s="1"/>
  <c r="H4" i="3"/>
  <c r="H4" i="7" s="1"/>
  <c r="G4" i="3"/>
  <c r="G4" i="7" s="1"/>
  <c r="F4" i="3"/>
  <c r="F4" i="7" s="1"/>
  <c r="E4" i="3"/>
  <c r="E4" i="7" s="1"/>
  <c r="D4" i="3"/>
  <c r="D4" i="7" s="1"/>
  <c r="C4" i="3"/>
  <c r="C4" i="7" s="1"/>
  <c r="A4" i="3"/>
  <c r="A4" i="7" s="1"/>
  <c r="O3" i="3"/>
  <c r="O3" i="7" s="1"/>
  <c r="L3" i="3"/>
  <c r="L3" i="7" s="1"/>
  <c r="K3" i="3"/>
  <c r="K3" i="7" s="1"/>
  <c r="J3" i="3"/>
  <c r="J3" i="7" s="1"/>
  <c r="I3" i="3"/>
  <c r="I3" i="7" s="1"/>
  <c r="H3" i="3"/>
  <c r="H3" i="7" s="1"/>
  <c r="G3" i="3"/>
  <c r="G3" i="7" s="1"/>
  <c r="F3" i="3"/>
  <c r="F3" i="7" s="1"/>
  <c r="E3" i="3"/>
  <c r="E3" i="7" s="1"/>
  <c r="D3" i="3"/>
  <c r="D3" i="7" s="1"/>
  <c r="C3" i="3"/>
  <c r="C3" i="7" s="1"/>
  <c r="A3" i="3"/>
  <c r="A3" i="7" s="1"/>
  <c r="O2" i="3"/>
  <c r="O2" i="7" s="1"/>
  <c r="L2" i="3"/>
  <c r="L2" i="7" s="1"/>
  <c r="K2" i="3"/>
  <c r="K2" i="7" s="1"/>
  <c r="J2" i="3"/>
  <c r="J2" i="7" s="1"/>
  <c r="I2" i="3"/>
  <c r="I2" i="7" s="1"/>
  <c r="H2" i="3"/>
  <c r="H2" i="7" s="1"/>
  <c r="G2" i="3"/>
  <c r="G2" i="7" s="1"/>
  <c r="F2" i="3"/>
  <c r="F2" i="7" s="1"/>
  <c r="E2" i="3"/>
  <c r="E2" i="7" s="1"/>
  <c r="D2" i="3"/>
  <c r="D2" i="7" s="1"/>
  <c r="C2" i="3"/>
  <c r="C2" i="7" s="1"/>
  <c r="A2" i="3"/>
  <c r="A2" i="7" s="1"/>
  <c r="S321" i="2"/>
  <c r="R321" i="2"/>
  <c r="Q321" i="2"/>
  <c r="P321" i="2"/>
  <c r="B321" i="3" s="1"/>
  <c r="B321" i="7" s="1"/>
  <c r="O321" i="2"/>
  <c r="S320" i="2"/>
  <c r="R320" i="2"/>
  <c r="Q320" i="2"/>
  <c r="O320" i="2"/>
  <c r="P320" i="2" s="1"/>
  <c r="B320" i="3" s="1"/>
  <c r="B320" i="7" s="1"/>
  <c r="S319" i="2"/>
  <c r="R319" i="2"/>
  <c r="Q319" i="2"/>
  <c r="O319" i="2"/>
  <c r="P319" i="2" s="1"/>
  <c r="B319" i="3" s="1"/>
  <c r="B319" i="7" s="1"/>
  <c r="S318" i="2"/>
  <c r="R318" i="2"/>
  <c r="Q318" i="2"/>
  <c r="P318" i="2"/>
  <c r="B318" i="3" s="1"/>
  <c r="B318" i="7" s="1"/>
  <c r="O318" i="2"/>
  <c r="S317" i="2"/>
  <c r="R317" i="2"/>
  <c r="Q317" i="2"/>
  <c r="O317" i="2"/>
  <c r="P317" i="2" s="1"/>
  <c r="B317" i="3" s="1"/>
  <c r="B317" i="7" s="1"/>
  <c r="S316" i="2"/>
  <c r="R316" i="2"/>
  <c r="Q316" i="2"/>
  <c r="O316" i="2"/>
  <c r="P316" i="2" s="1"/>
  <c r="B316" i="3" s="1"/>
  <c r="B316" i="7" s="1"/>
  <c r="S315" i="2"/>
  <c r="R315" i="2"/>
  <c r="Q315" i="2"/>
  <c r="P315" i="2"/>
  <c r="B315" i="3" s="1"/>
  <c r="B315" i="7" s="1"/>
  <c r="O315" i="2"/>
  <c r="S314" i="2"/>
  <c r="R314" i="2"/>
  <c r="Q314" i="2"/>
  <c r="O314" i="2"/>
  <c r="P314" i="2" s="1"/>
  <c r="B314" i="3" s="1"/>
  <c r="B314" i="7" s="1"/>
  <c r="S313" i="2"/>
  <c r="R313" i="2"/>
  <c r="Q313" i="2"/>
  <c r="O313" i="2"/>
  <c r="P313" i="2" s="1"/>
  <c r="B313" i="3" s="1"/>
  <c r="B313" i="7" s="1"/>
  <c r="S312" i="2"/>
  <c r="R312" i="2"/>
  <c r="Q312" i="2"/>
  <c r="P312" i="2"/>
  <c r="B312" i="3" s="1"/>
  <c r="B312" i="7" s="1"/>
  <c r="O312" i="2"/>
  <c r="S311" i="2"/>
  <c r="R311" i="2"/>
  <c r="Q311" i="2"/>
  <c r="O311" i="2"/>
  <c r="P311" i="2" s="1"/>
  <c r="B311" i="3" s="1"/>
  <c r="B311" i="7" s="1"/>
  <c r="S310" i="2"/>
  <c r="R310" i="2"/>
  <c r="Q310" i="2"/>
  <c r="O310" i="2"/>
  <c r="P310" i="2" s="1"/>
  <c r="B310" i="3" s="1"/>
  <c r="B310" i="7" s="1"/>
  <c r="S309" i="2"/>
  <c r="R309" i="2"/>
  <c r="Q309" i="2"/>
  <c r="P309" i="2"/>
  <c r="B309" i="3" s="1"/>
  <c r="B309" i="7" s="1"/>
  <c r="O309" i="2"/>
  <c r="S308" i="2"/>
  <c r="R308" i="2"/>
  <c r="Q308" i="2"/>
  <c r="O308" i="2"/>
  <c r="P308" i="2" s="1"/>
  <c r="B308" i="3" s="1"/>
  <c r="B308" i="7" s="1"/>
  <c r="S307" i="2"/>
  <c r="R307" i="2"/>
  <c r="Q307" i="2"/>
  <c r="O307" i="2"/>
  <c r="P307" i="2" s="1"/>
  <c r="B307" i="3" s="1"/>
  <c r="B307" i="7" s="1"/>
  <c r="S306" i="2"/>
  <c r="R306" i="2"/>
  <c r="Q306" i="2"/>
  <c r="P306" i="2"/>
  <c r="B306" i="3" s="1"/>
  <c r="B306" i="7" s="1"/>
  <c r="O306" i="2"/>
  <c r="S305" i="2"/>
  <c r="R305" i="2"/>
  <c r="Q305" i="2"/>
  <c r="O305" i="2"/>
  <c r="P305" i="2" s="1"/>
  <c r="B305" i="3" s="1"/>
  <c r="B305" i="7" s="1"/>
  <c r="S304" i="2"/>
  <c r="R304" i="2"/>
  <c r="Q304" i="2"/>
  <c r="O304" i="2"/>
  <c r="P304" i="2" s="1"/>
  <c r="B304" i="3" s="1"/>
  <c r="B304" i="7" s="1"/>
  <c r="S303" i="2"/>
  <c r="R303" i="2"/>
  <c r="Q303" i="2"/>
  <c r="P303" i="2"/>
  <c r="B303" i="3" s="1"/>
  <c r="B303" i="7" s="1"/>
  <c r="O303" i="2"/>
  <c r="S302" i="2"/>
  <c r="R302" i="2"/>
  <c r="Q302" i="2"/>
  <c r="O302" i="2"/>
  <c r="P302" i="2" s="1"/>
  <c r="B302" i="3" s="1"/>
  <c r="B302" i="7" s="1"/>
  <c r="S301" i="2"/>
  <c r="R301" i="2"/>
  <c r="Q301" i="2"/>
  <c r="O301" i="2"/>
  <c r="P301" i="2" s="1"/>
  <c r="B301" i="3" s="1"/>
  <c r="B301" i="7" s="1"/>
  <c r="S300" i="2"/>
  <c r="R300" i="2"/>
  <c r="Q300" i="2"/>
  <c r="P300" i="2"/>
  <c r="B300" i="3" s="1"/>
  <c r="B300" i="7" s="1"/>
  <c r="O300" i="2"/>
  <c r="S299" i="2"/>
  <c r="R299" i="2"/>
  <c r="Q299" i="2"/>
  <c r="O299" i="2"/>
  <c r="P299" i="2" s="1"/>
  <c r="B299" i="3" s="1"/>
  <c r="B299" i="7" s="1"/>
  <c r="S298" i="2"/>
  <c r="R298" i="2"/>
  <c r="Q298" i="2"/>
  <c r="O298" i="2"/>
  <c r="P298" i="2" s="1"/>
  <c r="B298" i="3" s="1"/>
  <c r="B298" i="7" s="1"/>
  <c r="S297" i="2"/>
  <c r="R297" i="2"/>
  <c r="Q297" i="2"/>
  <c r="P297" i="2"/>
  <c r="B297" i="3" s="1"/>
  <c r="B297" i="7" s="1"/>
  <c r="O297" i="2"/>
  <c r="S296" i="2"/>
  <c r="R296" i="2"/>
  <c r="Q296" i="2"/>
  <c r="O296" i="2"/>
  <c r="P296" i="2" s="1"/>
  <c r="B296" i="3" s="1"/>
  <c r="B296" i="7" s="1"/>
  <c r="S295" i="2"/>
  <c r="R295" i="2"/>
  <c r="Q295" i="2"/>
  <c r="O295" i="2"/>
  <c r="P295" i="2" s="1"/>
  <c r="B295" i="3" s="1"/>
  <c r="B295" i="7" s="1"/>
  <c r="S294" i="2"/>
  <c r="R294" i="2"/>
  <c r="Q294" i="2"/>
  <c r="P294" i="2"/>
  <c r="B294" i="3" s="1"/>
  <c r="B294" i="7" s="1"/>
  <c r="O294" i="2"/>
  <c r="S293" i="2"/>
  <c r="R293" i="2"/>
  <c r="Q293" i="2"/>
  <c r="O293" i="2"/>
  <c r="P293" i="2" s="1"/>
  <c r="B293" i="3" s="1"/>
  <c r="B293" i="7" s="1"/>
  <c r="S292" i="2"/>
  <c r="R292" i="2"/>
  <c r="Q292" i="2"/>
  <c r="O292" i="2"/>
  <c r="P292" i="2" s="1"/>
  <c r="B292" i="3" s="1"/>
  <c r="B292" i="7" s="1"/>
  <c r="S291" i="2"/>
  <c r="R291" i="2"/>
  <c r="Q291" i="2"/>
  <c r="P291" i="2"/>
  <c r="B291" i="3" s="1"/>
  <c r="B291" i="7" s="1"/>
  <c r="O291" i="2"/>
  <c r="S290" i="2"/>
  <c r="R290" i="2"/>
  <c r="Q290" i="2"/>
  <c r="O290" i="2"/>
  <c r="P290" i="2" s="1"/>
  <c r="B290" i="3" s="1"/>
  <c r="B290" i="7" s="1"/>
  <c r="S289" i="2"/>
  <c r="R289" i="2"/>
  <c r="Q289" i="2"/>
  <c r="O289" i="2"/>
  <c r="P289" i="2" s="1"/>
  <c r="B289" i="3" s="1"/>
  <c r="B289" i="7" s="1"/>
  <c r="S288" i="2"/>
  <c r="R288" i="2"/>
  <c r="Q288" i="2"/>
  <c r="P288" i="2"/>
  <c r="B288" i="3" s="1"/>
  <c r="B288" i="7" s="1"/>
  <c r="O288" i="2"/>
  <c r="S287" i="2"/>
  <c r="R287" i="2"/>
  <c r="Q287" i="2"/>
  <c r="O287" i="2"/>
  <c r="P287" i="2" s="1"/>
  <c r="B287" i="3" s="1"/>
  <c r="B287" i="7" s="1"/>
  <c r="S286" i="2"/>
  <c r="R286" i="2"/>
  <c r="Q286" i="2"/>
  <c r="O286" i="2"/>
  <c r="P286" i="2" s="1"/>
  <c r="B286" i="3" s="1"/>
  <c r="B286" i="7" s="1"/>
  <c r="S285" i="2"/>
  <c r="R285" i="2"/>
  <c r="Q285" i="2"/>
  <c r="P285" i="2"/>
  <c r="B285" i="3" s="1"/>
  <c r="B285" i="7" s="1"/>
  <c r="O285" i="2"/>
  <c r="S284" i="2"/>
  <c r="R284" i="2"/>
  <c r="Q284" i="2"/>
  <c r="O284" i="2"/>
  <c r="P284" i="2" s="1"/>
  <c r="B284" i="3" s="1"/>
  <c r="B284" i="7" s="1"/>
  <c r="S283" i="2"/>
  <c r="R283" i="2"/>
  <c r="Q283" i="2"/>
  <c r="O283" i="2"/>
  <c r="P283" i="2" s="1"/>
  <c r="B283" i="3" s="1"/>
  <c r="B283" i="7" s="1"/>
  <c r="S282" i="2"/>
  <c r="R282" i="2"/>
  <c r="Q282" i="2"/>
  <c r="P282" i="2"/>
  <c r="B282" i="3" s="1"/>
  <c r="B282" i="7" s="1"/>
  <c r="O282" i="2"/>
  <c r="S281" i="2"/>
  <c r="R281" i="2"/>
  <c r="Q281" i="2"/>
  <c r="O281" i="2"/>
  <c r="P281" i="2" s="1"/>
  <c r="B281" i="3" s="1"/>
  <c r="B281" i="7" s="1"/>
  <c r="S280" i="2"/>
  <c r="R280" i="2"/>
  <c r="Q280" i="2"/>
  <c r="O280" i="2"/>
  <c r="P280" i="2" s="1"/>
  <c r="B280" i="3" s="1"/>
  <c r="B280" i="7" s="1"/>
  <c r="S279" i="2"/>
  <c r="R279" i="2"/>
  <c r="Q279" i="2"/>
  <c r="P279" i="2"/>
  <c r="B279" i="3" s="1"/>
  <c r="B279" i="7" s="1"/>
  <c r="O279" i="2"/>
  <c r="S278" i="2"/>
  <c r="R278" i="2"/>
  <c r="Q278" i="2"/>
  <c r="O278" i="2"/>
  <c r="P278" i="2" s="1"/>
  <c r="B278" i="3" s="1"/>
  <c r="B278" i="7" s="1"/>
  <c r="S277" i="2"/>
  <c r="R277" i="2"/>
  <c r="Q277" i="2"/>
  <c r="O277" i="2"/>
  <c r="P277" i="2" s="1"/>
  <c r="B277" i="3" s="1"/>
  <c r="B277" i="7" s="1"/>
  <c r="S276" i="2"/>
  <c r="R276" i="2"/>
  <c r="Q276" i="2"/>
  <c r="P276" i="2"/>
  <c r="B276" i="3" s="1"/>
  <c r="B276" i="7" s="1"/>
  <c r="O276" i="2"/>
  <c r="S275" i="2"/>
  <c r="R275" i="2"/>
  <c r="Q275" i="2"/>
  <c r="O275" i="2"/>
  <c r="P275" i="2" s="1"/>
  <c r="B275" i="3" s="1"/>
  <c r="B275" i="7" s="1"/>
  <c r="S274" i="2"/>
  <c r="R274" i="2"/>
  <c r="Q274" i="2"/>
  <c r="O274" i="2"/>
  <c r="P274" i="2" s="1"/>
  <c r="B274" i="3" s="1"/>
  <c r="B274" i="7" s="1"/>
  <c r="S273" i="2"/>
  <c r="R273" i="2"/>
  <c r="Q273" i="2"/>
  <c r="P273" i="2"/>
  <c r="B273" i="3" s="1"/>
  <c r="B273" i="7" s="1"/>
  <c r="O273" i="2"/>
  <c r="S272" i="2"/>
  <c r="R272" i="2"/>
  <c r="Q272" i="2"/>
  <c r="O272" i="2"/>
  <c r="P272" i="2" s="1"/>
  <c r="B272" i="3" s="1"/>
  <c r="B272" i="7" s="1"/>
  <c r="S271" i="2"/>
  <c r="R271" i="2"/>
  <c r="Q271" i="2"/>
  <c r="O271" i="2"/>
  <c r="P271" i="2" s="1"/>
  <c r="B271" i="3" s="1"/>
  <c r="B271" i="7" s="1"/>
  <c r="S270" i="2"/>
  <c r="R270" i="2"/>
  <c r="Q270" i="2"/>
  <c r="P270" i="2"/>
  <c r="B270" i="3" s="1"/>
  <c r="B270" i="7" s="1"/>
  <c r="O270" i="2"/>
  <c r="S269" i="2"/>
  <c r="R269" i="2"/>
  <c r="Q269" i="2"/>
  <c r="O269" i="2"/>
  <c r="P269" i="2" s="1"/>
  <c r="B269" i="3" s="1"/>
  <c r="B269" i="7" s="1"/>
  <c r="S268" i="2"/>
  <c r="R268" i="2"/>
  <c r="Q268" i="2"/>
  <c r="O268" i="2"/>
  <c r="P268" i="2" s="1"/>
  <c r="B268" i="3" s="1"/>
  <c r="B268" i="7" s="1"/>
  <c r="S267" i="2"/>
  <c r="R267" i="2"/>
  <c r="Q267" i="2"/>
  <c r="P267" i="2"/>
  <c r="B267" i="3" s="1"/>
  <c r="B267" i="7" s="1"/>
  <c r="O267" i="2"/>
  <c r="S266" i="2"/>
  <c r="R266" i="2"/>
  <c r="Q266" i="2"/>
  <c r="O266" i="2"/>
  <c r="P266" i="2" s="1"/>
  <c r="B266" i="3" s="1"/>
  <c r="B266" i="7" s="1"/>
  <c r="S265" i="2"/>
  <c r="R265" i="2"/>
  <c r="Q265" i="2"/>
  <c r="O265" i="2"/>
  <c r="P265" i="2" s="1"/>
  <c r="B265" i="3" s="1"/>
  <c r="B265" i="7" s="1"/>
  <c r="S264" i="2"/>
  <c r="R264" i="2"/>
  <c r="Q264" i="2"/>
  <c r="P264" i="2"/>
  <c r="B264" i="3" s="1"/>
  <c r="B264" i="7" s="1"/>
  <c r="O264" i="2"/>
  <c r="S263" i="2"/>
  <c r="R263" i="2"/>
  <c r="Q263" i="2"/>
  <c r="O263" i="2"/>
  <c r="P263" i="2" s="1"/>
  <c r="B263" i="3" s="1"/>
  <c r="B263" i="7" s="1"/>
  <c r="S262" i="2"/>
  <c r="R262" i="2"/>
  <c r="Q262" i="2"/>
  <c r="O262" i="2"/>
  <c r="P262" i="2" s="1"/>
  <c r="B262" i="3" s="1"/>
  <c r="B262" i="7" s="1"/>
  <c r="S261" i="2"/>
  <c r="R261" i="2"/>
  <c r="Q261" i="2"/>
  <c r="P261" i="2"/>
  <c r="B261" i="3" s="1"/>
  <c r="B261" i="7" s="1"/>
  <c r="O261" i="2"/>
  <c r="S260" i="2"/>
  <c r="R260" i="2"/>
  <c r="Q260" i="2"/>
  <c r="O260" i="2"/>
  <c r="P260" i="2" s="1"/>
  <c r="B260" i="3" s="1"/>
  <c r="B260" i="7" s="1"/>
  <c r="S259" i="2"/>
  <c r="R259" i="2"/>
  <c r="Q259" i="2"/>
  <c r="O259" i="2"/>
  <c r="P259" i="2" s="1"/>
  <c r="B259" i="3" s="1"/>
  <c r="B259" i="7" s="1"/>
  <c r="S258" i="2"/>
  <c r="R258" i="2"/>
  <c r="Q258" i="2"/>
  <c r="P258" i="2"/>
  <c r="B258" i="3" s="1"/>
  <c r="B258" i="7" s="1"/>
  <c r="O258" i="2"/>
  <c r="S257" i="2"/>
  <c r="R257" i="2"/>
  <c r="Q257" i="2"/>
  <c r="O257" i="2"/>
  <c r="P257" i="2" s="1"/>
  <c r="B257" i="3" s="1"/>
  <c r="B257" i="7" s="1"/>
  <c r="S256" i="2"/>
  <c r="R256" i="2"/>
  <c r="Q256" i="2"/>
  <c r="O256" i="2"/>
  <c r="P256" i="2" s="1"/>
  <c r="B256" i="3" s="1"/>
  <c r="B256" i="7" s="1"/>
  <c r="S255" i="2"/>
  <c r="R255" i="2"/>
  <c r="Q255" i="2"/>
  <c r="P255" i="2"/>
  <c r="B255" i="3" s="1"/>
  <c r="B255" i="7" s="1"/>
  <c r="O255" i="2"/>
  <c r="S254" i="2"/>
  <c r="R254" i="2"/>
  <c r="Q254" i="2"/>
  <c r="O254" i="2"/>
  <c r="P254" i="2" s="1"/>
  <c r="B254" i="3" s="1"/>
  <c r="B254" i="7" s="1"/>
  <c r="S253" i="2"/>
  <c r="R253" i="2"/>
  <c r="Q253" i="2"/>
  <c r="O253" i="2"/>
  <c r="P253" i="2" s="1"/>
  <c r="B253" i="3" s="1"/>
  <c r="B253" i="7" s="1"/>
  <c r="S252" i="2"/>
  <c r="R252" i="2"/>
  <c r="Q252" i="2"/>
  <c r="P252" i="2"/>
  <c r="B252" i="3" s="1"/>
  <c r="B252" i="7" s="1"/>
  <c r="O252" i="2"/>
  <c r="S251" i="2"/>
  <c r="R251" i="2"/>
  <c r="Q251" i="2"/>
  <c r="O251" i="2"/>
  <c r="P251" i="2" s="1"/>
  <c r="B251" i="3" s="1"/>
  <c r="B251" i="7" s="1"/>
  <c r="S250" i="2"/>
  <c r="R250" i="2"/>
  <c r="Q250" i="2"/>
  <c r="O250" i="2"/>
  <c r="P250" i="2" s="1"/>
  <c r="B250" i="3" s="1"/>
  <c r="B250" i="7" s="1"/>
  <c r="S249" i="2"/>
  <c r="R249" i="2"/>
  <c r="Q249" i="2"/>
  <c r="P249" i="2"/>
  <c r="B249" i="3" s="1"/>
  <c r="B249" i="7" s="1"/>
  <c r="O249" i="2"/>
  <c r="S248" i="2"/>
  <c r="R248" i="2"/>
  <c r="Q248" i="2"/>
  <c r="O248" i="2"/>
  <c r="P248" i="2" s="1"/>
  <c r="B248" i="3" s="1"/>
  <c r="B248" i="7" s="1"/>
  <c r="S247" i="2"/>
  <c r="R247" i="2"/>
  <c r="Q247" i="2"/>
  <c r="O247" i="2"/>
  <c r="P247" i="2" s="1"/>
  <c r="B247" i="3" s="1"/>
  <c r="B247" i="7" s="1"/>
  <c r="S246" i="2"/>
  <c r="R246" i="2"/>
  <c r="Q246" i="2"/>
  <c r="P246" i="2"/>
  <c r="B246" i="3" s="1"/>
  <c r="B246" i="7" s="1"/>
  <c r="O246" i="2"/>
  <c r="S245" i="2"/>
  <c r="R245" i="2"/>
  <c r="Q245" i="2"/>
  <c r="O245" i="2"/>
  <c r="P245" i="2" s="1"/>
  <c r="B245" i="3" s="1"/>
  <c r="B245" i="7" s="1"/>
  <c r="S244" i="2"/>
  <c r="R244" i="2"/>
  <c r="Q244" i="2"/>
  <c r="O244" i="2"/>
  <c r="P244" i="2" s="1"/>
  <c r="B244" i="3" s="1"/>
  <c r="B244" i="7" s="1"/>
  <c r="S243" i="2"/>
  <c r="R243" i="2"/>
  <c r="Q243" i="2"/>
  <c r="P243" i="2"/>
  <c r="B243" i="3" s="1"/>
  <c r="B243" i="7" s="1"/>
  <c r="O243" i="2"/>
  <c r="S242" i="2"/>
  <c r="R242" i="2"/>
  <c r="Q242" i="2"/>
  <c r="O242" i="2"/>
  <c r="P242" i="2" s="1"/>
  <c r="B242" i="3" s="1"/>
  <c r="B242" i="7" s="1"/>
  <c r="S241" i="2"/>
  <c r="R241" i="2"/>
  <c r="Q241" i="2"/>
  <c r="O241" i="2"/>
  <c r="P241" i="2" s="1"/>
  <c r="B241" i="3" s="1"/>
  <c r="B241" i="7" s="1"/>
  <c r="S240" i="2"/>
  <c r="R240" i="2"/>
  <c r="Q240" i="2"/>
  <c r="P240" i="2"/>
  <c r="B240" i="3" s="1"/>
  <c r="B240" i="7" s="1"/>
  <c r="O240" i="2"/>
  <c r="S239" i="2"/>
  <c r="R239" i="2"/>
  <c r="Q239" i="2"/>
  <c r="O239" i="2"/>
  <c r="P239" i="2" s="1"/>
  <c r="B239" i="3" s="1"/>
  <c r="B239" i="7" s="1"/>
  <c r="S238" i="2"/>
  <c r="R238" i="2"/>
  <c r="Q238" i="2"/>
  <c r="O238" i="2"/>
  <c r="P238" i="2" s="1"/>
  <c r="B238" i="3" s="1"/>
  <c r="B238" i="7" s="1"/>
  <c r="S237" i="2"/>
  <c r="R237" i="2"/>
  <c r="Q237" i="2"/>
  <c r="P237" i="2"/>
  <c r="B237" i="3" s="1"/>
  <c r="B237" i="7" s="1"/>
  <c r="O237" i="2"/>
  <c r="S236" i="2"/>
  <c r="R236" i="2"/>
  <c r="Q236" i="2"/>
  <c r="O236" i="2"/>
  <c r="P236" i="2" s="1"/>
  <c r="B236" i="3" s="1"/>
  <c r="B236" i="7" s="1"/>
  <c r="S235" i="2"/>
  <c r="R235" i="2"/>
  <c r="Q235" i="2"/>
  <c r="O235" i="2"/>
  <c r="P235" i="2" s="1"/>
  <c r="B235" i="3" s="1"/>
  <c r="B235" i="7" s="1"/>
  <c r="S234" i="2"/>
  <c r="R234" i="2"/>
  <c r="Q234" i="2"/>
  <c r="P234" i="2"/>
  <c r="B234" i="3" s="1"/>
  <c r="B234" i="7" s="1"/>
  <c r="O234" i="2"/>
  <c r="S233" i="2"/>
  <c r="R233" i="2"/>
  <c r="Q233" i="2"/>
  <c r="O233" i="2"/>
  <c r="P233" i="2" s="1"/>
  <c r="B233" i="3" s="1"/>
  <c r="B233" i="7" s="1"/>
  <c r="S232" i="2"/>
  <c r="R232" i="2"/>
  <c r="Q232" i="2"/>
  <c r="O232" i="2"/>
  <c r="P232" i="2" s="1"/>
  <c r="B232" i="3" s="1"/>
  <c r="B232" i="7" s="1"/>
  <c r="S231" i="2"/>
  <c r="R231" i="2"/>
  <c r="Q231" i="2"/>
  <c r="P231" i="2"/>
  <c r="B231" i="3" s="1"/>
  <c r="B231" i="7" s="1"/>
  <c r="O231" i="2"/>
  <c r="S230" i="2"/>
  <c r="R230" i="2"/>
  <c r="Q230" i="2"/>
  <c r="O230" i="2"/>
  <c r="P230" i="2" s="1"/>
  <c r="B230" i="3" s="1"/>
  <c r="B230" i="7" s="1"/>
  <c r="S229" i="2"/>
  <c r="R229" i="2"/>
  <c r="Q229" i="2"/>
  <c r="O229" i="2"/>
  <c r="P229" i="2" s="1"/>
  <c r="B229" i="3" s="1"/>
  <c r="B229" i="7" s="1"/>
  <c r="S228" i="2"/>
  <c r="R228" i="2"/>
  <c r="Q228" i="2"/>
  <c r="P228" i="2"/>
  <c r="B228" i="3" s="1"/>
  <c r="B228" i="7" s="1"/>
  <c r="O228" i="2"/>
  <c r="S227" i="2"/>
  <c r="R227" i="2"/>
  <c r="Q227" i="2"/>
  <c r="O227" i="2"/>
  <c r="P227" i="2" s="1"/>
  <c r="B227" i="3" s="1"/>
  <c r="B227" i="7" s="1"/>
  <c r="S226" i="2"/>
  <c r="R226" i="2"/>
  <c r="Q226" i="2"/>
  <c r="O226" i="2"/>
  <c r="P226" i="2" s="1"/>
  <c r="B226" i="3" s="1"/>
  <c r="B226" i="7" s="1"/>
  <c r="S225" i="2"/>
  <c r="R225" i="2"/>
  <c r="Q225" i="2"/>
  <c r="P225" i="2"/>
  <c r="B225" i="3" s="1"/>
  <c r="B225" i="7" s="1"/>
  <c r="O225" i="2"/>
  <c r="S224" i="2"/>
  <c r="R224" i="2"/>
  <c r="Q224" i="2"/>
  <c r="O224" i="2"/>
  <c r="P224" i="2" s="1"/>
  <c r="B224" i="3" s="1"/>
  <c r="B224" i="7" s="1"/>
  <c r="S223" i="2"/>
  <c r="R223" i="2"/>
  <c r="Q223" i="2"/>
  <c r="O223" i="2"/>
  <c r="P223" i="2" s="1"/>
  <c r="B223" i="3" s="1"/>
  <c r="B223" i="7" s="1"/>
  <c r="S222" i="2"/>
  <c r="R222" i="2"/>
  <c r="Q222" i="2"/>
  <c r="P222" i="2"/>
  <c r="B222" i="3" s="1"/>
  <c r="B222" i="7" s="1"/>
  <c r="O222" i="2"/>
  <c r="S221" i="2"/>
  <c r="R221" i="2"/>
  <c r="Q221" i="2"/>
  <c r="O221" i="2"/>
  <c r="P221" i="2" s="1"/>
  <c r="B221" i="3" s="1"/>
  <c r="B221" i="7" s="1"/>
  <c r="S220" i="2"/>
  <c r="R220" i="2"/>
  <c r="Q220" i="2"/>
  <c r="O220" i="2"/>
  <c r="P220" i="2" s="1"/>
  <c r="B220" i="3" s="1"/>
  <c r="B220" i="7" s="1"/>
  <c r="S219" i="2"/>
  <c r="R219" i="2"/>
  <c r="Q219" i="2"/>
  <c r="P219" i="2"/>
  <c r="B219" i="3" s="1"/>
  <c r="B219" i="7" s="1"/>
  <c r="O219" i="2"/>
  <c r="S218" i="2"/>
  <c r="R218" i="2"/>
  <c r="Q218" i="2"/>
  <c r="O218" i="2"/>
  <c r="P218" i="2" s="1"/>
  <c r="B218" i="3" s="1"/>
  <c r="B218" i="7" s="1"/>
  <c r="S217" i="2"/>
  <c r="R217" i="2"/>
  <c r="Q217" i="2"/>
  <c r="O217" i="2"/>
  <c r="P217" i="2" s="1"/>
  <c r="B217" i="3" s="1"/>
  <c r="B217" i="7" s="1"/>
  <c r="S216" i="2"/>
  <c r="R216" i="2"/>
  <c r="Q216" i="2"/>
  <c r="P216" i="2"/>
  <c r="B216" i="3" s="1"/>
  <c r="B216" i="7" s="1"/>
  <c r="O216" i="2"/>
  <c r="S215" i="2"/>
  <c r="R215" i="2"/>
  <c r="Q215" i="2"/>
  <c r="O215" i="2"/>
  <c r="P215" i="2" s="1"/>
  <c r="B215" i="3" s="1"/>
  <c r="B215" i="7" s="1"/>
  <c r="S214" i="2"/>
  <c r="R214" i="2"/>
  <c r="Q214" i="2"/>
  <c r="O214" i="2"/>
  <c r="P214" i="2" s="1"/>
  <c r="B214" i="3" s="1"/>
  <c r="B214" i="7" s="1"/>
  <c r="S213" i="2"/>
  <c r="R213" i="2"/>
  <c r="Q213" i="2"/>
  <c r="P213" i="2"/>
  <c r="B213" i="3" s="1"/>
  <c r="B213" i="7" s="1"/>
  <c r="O213" i="2"/>
  <c r="S212" i="2"/>
  <c r="R212" i="2"/>
  <c r="Q212" i="2"/>
  <c r="O212" i="2"/>
  <c r="P212" i="2" s="1"/>
  <c r="B212" i="3" s="1"/>
  <c r="B212" i="7" s="1"/>
  <c r="S211" i="2"/>
  <c r="R211" i="2"/>
  <c r="Q211" i="2"/>
  <c r="O211" i="2"/>
  <c r="P211" i="2" s="1"/>
  <c r="B211" i="3" s="1"/>
  <c r="B211" i="7" s="1"/>
  <c r="S210" i="2"/>
  <c r="R210" i="2"/>
  <c r="Q210" i="2"/>
  <c r="P210" i="2"/>
  <c r="B210" i="3" s="1"/>
  <c r="B210" i="7" s="1"/>
  <c r="O210" i="2"/>
  <c r="S209" i="2"/>
  <c r="R209" i="2"/>
  <c r="Q209" i="2"/>
  <c r="O209" i="2"/>
  <c r="P209" i="2" s="1"/>
  <c r="B209" i="3" s="1"/>
  <c r="B209" i="7" s="1"/>
  <c r="S208" i="2"/>
  <c r="R208" i="2"/>
  <c r="Q208" i="2"/>
  <c r="O208" i="2"/>
  <c r="P208" i="2" s="1"/>
  <c r="B208" i="3" s="1"/>
  <c r="B208" i="7" s="1"/>
  <c r="S207" i="2"/>
  <c r="R207" i="2"/>
  <c r="Q207" i="2"/>
  <c r="P207" i="2"/>
  <c r="B207" i="3" s="1"/>
  <c r="B207" i="7" s="1"/>
  <c r="O207" i="2"/>
  <c r="S206" i="2"/>
  <c r="R206" i="2"/>
  <c r="Q206" i="2"/>
  <c r="O206" i="2"/>
  <c r="P206" i="2" s="1"/>
  <c r="B206" i="3" s="1"/>
  <c r="B206" i="7" s="1"/>
  <c r="S205" i="2"/>
  <c r="R205" i="2"/>
  <c r="Q205" i="2"/>
  <c r="O205" i="2"/>
  <c r="P205" i="2" s="1"/>
  <c r="B205" i="3" s="1"/>
  <c r="B205" i="7" s="1"/>
  <c r="S204" i="2"/>
  <c r="R204" i="2"/>
  <c r="Q204" i="2"/>
  <c r="P204" i="2"/>
  <c r="B204" i="3" s="1"/>
  <c r="B204" i="7" s="1"/>
  <c r="O204" i="2"/>
  <c r="S203" i="2"/>
  <c r="R203" i="2"/>
  <c r="Q203" i="2"/>
  <c r="O203" i="2"/>
  <c r="P203" i="2" s="1"/>
  <c r="B203" i="3" s="1"/>
  <c r="B203" i="7" s="1"/>
  <c r="S202" i="2"/>
  <c r="R202" i="2"/>
  <c r="Q202" i="2"/>
  <c r="O202" i="2"/>
  <c r="P202" i="2" s="1"/>
  <c r="B202" i="3" s="1"/>
  <c r="B202" i="7" s="1"/>
  <c r="S201" i="2"/>
  <c r="R201" i="2"/>
  <c r="Q201" i="2"/>
  <c r="P201" i="2"/>
  <c r="B201" i="3" s="1"/>
  <c r="B201" i="7" s="1"/>
  <c r="O201" i="2"/>
  <c r="S200" i="2"/>
  <c r="R200" i="2"/>
  <c r="Q200" i="2"/>
  <c r="O200" i="2"/>
  <c r="P200" i="2" s="1"/>
  <c r="B200" i="3" s="1"/>
  <c r="B200" i="7" s="1"/>
  <c r="S199" i="2"/>
  <c r="R199" i="2"/>
  <c r="Q199" i="2"/>
  <c r="O199" i="2"/>
  <c r="P199" i="2" s="1"/>
  <c r="B199" i="3" s="1"/>
  <c r="B199" i="7" s="1"/>
  <c r="S198" i="2"/>
  <c r="R198" i="2"/>
  <c r="Q198" i="2"/>
  <c r="P198" i="2"/>
  <c r="B198" i="3" s="1"/>
  <c r="B198" i="7" s="1"/>
  <c r="O198" i="2"/>
  <c r="S197" i="2"/>
  <c r="R197" i="2"/>
  <c r="Q197" i="2"/>
  <c r="O197" i="2"/>
  <c r="P197" i="2" s="1"/>
  <c r="B197" i="3" s="1"/>
  <c r="B197" i="7" s="1"/>
  <c r="S196" i="2"/>
  <c r="R196" i="2"/>
  <c r="Q196" i="2"/>
  <c r="O196" i="2"/>
  <c r="P196" i="2" s="1"/>
  <c r="B196" i="3" s="1"/>
  <c r="B196" i="7" s="1"/>
  <c r="S195" i="2"/>
  <c r="R195" i="2"/>
  <c r="Q195" i="2"/>
  <c r="P195" i="2"/>
  <c r="B195" i="3" s="1"/>
  <c r="B195" i="7" s="1"/>
  <c r="O195" i="2"/>
  <c r="S194" i="2"/>
  <c r="R194" i="2"/>
  <c r="Q194" i="2"/>
  <c r="O194" i="2"/>
  <c r="P194" i="2" s="1"/>
  <c r="B194" i="3" s="1"/>
  <c r="B194" i="7" s="1"/>
  <c r="S193" i="2"/>
  <c r="R193" i="2"/>
  <c r="Q193" i="2"/>
  <c r="P193" i="2"/>
  <c r="B193" i="3" s="1"/>
  <c r="B193" i="7" s="1"/>
  <c r="O193" i="2"/>
  <c r="S192" i="2"/>
  <c r="R192" i="2"/>
  <c r="Q192" i="2"/>
  <c r="P192" i="2"/>
  <c r="B192" i="3" s="1"/>
  <c r="B192" i="7" s="1"/>
  <c r="O192" i="2"/>
  <c r="S191" i="2"/>
  <c r="R191" i="2"/>
  <c r="Q191" i="2"/>
  <c r="O191" i="2"/>
  <c r="P191" i="2" s="1"/>
  <c r="B191" i="3" s="1"/>
  <c r="B191" i="7" s="1"/>
  <c r="S190" i="2"/>
  <c r="R190" i="2"/>
  <c r="Q190" i="2"/>
  <c r="P190" i="2"/>
  <c r="B190" i="3" s="1"/>
  <c r="B190" i="7" s="1"/>
  <c r="O190" i="2"/>
  <c r="S189" i="2"/>
  <c r="R189" i="2"/>
  <c r="Q189" i="2"/>
  <c r="P189" i="2"/>
  <c r="B189" i="3" s="1"/>
  <c r="B189" i="7" s="1"/>
  <c r="O189" i="2"/>
  <c r="S188" i="2"/>
  <c r="R188" i="2"/>
  <c r="Q188" i="2"/>
  <c r="O188" i="2"/>
  <c r="P188" i="2" s="1"/>
  <c r="B188" i="3" s="1"/>
  <c r="B188" i="7" s="1"/>
  <c r="S187" i="2"/>
  <c r="R187" i="2"/>
  <c r="Q187" i="2"/>
  <c r="P187" i="2"/>
  <c r="B187" i="3" s="1"/>
  <c r="B187" i="7" s="1"/>
  <c r="O187" i="2"/>
  <c r="S186" i="2"/>
  <c r="R186" i="2"/>
  <c r="Q186" i="2"/>
  <c r="P186" i="2"/>
  <c r="B186" i="3" s="1"/>
  <c r="B186" i="7" s="1"/>
  <c r="O186" i="2"/>
  <c r="S185" i="2"/>
  <c r="R185" i="2"/>
  <c r="Q185" i="2"/>
  <c r="O185" i="2"/>
  <c r="P185" i="2" s="1"/>
  <c r="B185" i="3" s="1"/>
  <c r="B185" i="7" s="1"/>
  <c r="S184" i="2"/>
  <c r="R184" i="2"/>
  <c r="Q184" i="2"/>
  <c r="P184" i="2"/>
  <c r="B184" i="3" s="1"/>
  <c r="B184" i="7" s="1"/>
  <c r="O184" i="2"/>
  <c r="S183" i="2"/>
  <c r="R183" i="2"/>
  <c r="Q183" i="2"/>
  <c r="P183" i="2"/>
  <c r="B183" i="3" s="1"/>
  <c r="B183" i="7" s="1"/>
  <c r="O183" i="2"/>
  <c r="S182" i="2"/>
  <c r="R182" i="2"/>
  <c r="Q182" i="2"/>
  <c r="O182" i="2"/>
  <c r="P182" i="2" s="1"/>
  <c r="B182" i="3" s="1"/>
  <c r="B182" i="7" s="1"/>
  <c r="S181" i="2"/>
  <c r="R181" i="2"/>
  <c r="Q181" i="2"/>
  <c r="P181" i="2"/>
  <c r="B181" i="3" s="1"/>
  <c r="B181" i="7" s="1"/>
  <c r="O181" i="2"/>
  <c r="S180" i="2"/>
  <c r="R180" i="2"/>
  <c r="Q180" i="2"/>
  <c r="P180" i="2"/>
  <c r="B180" i="3" s="1"/>
  <c r="B180" i="7" s="1"/>
  <c r="O180" i="2"/>
  <c r="S179" i="2"/>
  <c r="R179" i="2"/>
  <c r="Q179" i="2"/>
  <c r="O179" i="2"/>
  <c r="P179" i="2" s="1"/>
  <c r="B179" i="3" s="1"/>
  <c r="B179" i="7" s="1"/>
  <c r="S178" i="2"/>
  <c r="R178" i="2"/>
  <c r="Q178" i="2"/>
  <c r="P178" i="2"/>
  <c r="B178" i="3" s="1"/>
  <c r="B178" i="7" s="1"/>
  <c r="O178" i="2"/>
  <c r="S177" i="2"/>
  <c r="R177" i="2"/>
  <c r="Q177" i="2"/>
  <c r="P177" i="2"/>
  <c r="B177" i="3" s="1"/>
  <c r="B177" i="7" s="1"/>
  <c r="O177" i="2"/>
  <c r="S176" i="2"/>
  <c r="R176" i="2"/>
  <c r="Q176" i="2"/>
  <c r="O176" i="2"/>
  <c r="P176" i="2" s="1"/>
  <c r="B176" i="3" s="1"/>
  <c r="B176" i="7" s="1"/>
  <c r="S175" i="2"/>
  <c r="R175" i="2"/>
  <c r="Q175" i="2"/>
  <c r="P175" i="2"/>
  <c r="B175" i="3" s="1"/>
  <c r="B175" i="7" s="1"/>
  <c r="O175" i="2"/>
  <c r="S174" i="2"/>
  <c r="R174" i="2"/>
  <c r="Q174" i="2"/>
  <c r="P174" i="2"/>
  <c r="B174" i="3" s="1"/>
  <c r="B174" i="7" s="1"/>
  <c r="O174" i="2"/>
  <c r="S173" i="2"/>
  <c r="R173" i="2"/>
  <c r="Q173" i="2"/>
  <c r="O173" i="2"/>
  <c r="P173" i="2" s="1"/>
  <c r="B173" i="3" s="1"/>
  <c r="B173" i="7" s="1"/>
  <c r="S172" i="2"/>
  <c r="R172" i="2"/>
  <c r="Q172" i="2"/>
  <c r="P172" i="2"/>
  <c r="B172" i="3" s="1"/>
  <c r="B172" i="7" s="1"/>
  <c r="O172" i="2"/>
  <c r="S171" i="2"/>
  <c r="R171" i="2"/>
  <c r="Q171" i="2"/>
  <c r="P171" i="2"/>
  <c r="B171" i="3" s="1"/>
  <c r="B171" i="7" s="1"/>
  <c r="O171" i="2"/>
  <c r="S170" i="2"/>
  <c r="R170" i="2"/>
  <c r="Q170" i="2"/>
  <c r="O170" i="2"/>
  <c r="P170" i="2" s="1"/>
  <c r="B170" i="3" s="1"/>
  <c r="B170" i="7" s="1"/>
  <c r="S169" i="2"/>
  <c r="R169" i="2"/>
  <c r="Q169" i="2"/>
  <c r="P169" i="2"/>
  <c r="B169" i="3" s="1"/>
  <c r="B169" i="7" s="1"/>
  <c r="O169" i="2"/>
  <c r="S168" i="2"/>
  <c r="R168" i="2"/>
  <c r="Q168" i="2"/>
  <c r="P168" i="2"/>
  <c r="B168" i="3" s="1"/>
  <c r="B168" i="7" s="1"/>
  <c r="O168" i="2"/>
  <c r="S167" i="2"/>
  <c r="R167" i="2"/>
  <c r="Q167" i="2"/>
  <c r="O167" i="2"/>
  <c r="P167" i="2" s="1"/>
  <c r="B167" i="3" s="1"/>
  <c r="B167" i="7" s="1"/>
  <c r="S166" i="2"/>
  <c r="R166" i="2"/>
  <c r="Q166" i="2"/>
  <c r="P166" i="2"/>
  <c r="B166" i="3" s="1"/>
  <c r="B166" i="7" s="1"/>
  <c r="O166" i="2"/>
  <c r="S165" i="2"/>
  <c r="R165" i="2"/>
  <c r="Q165" i="2"/>
  <c r="P165" i="2"/>
  <c r="B165" i="3" s="1"/>
  <c r="B165" i="7" s="1"/>
  <c r="O165" i="2"/>
  <c r="S164" i="2"/>
  <c r="R164" i="2"/>
  <c r="Q164" i="2"/>
  <c r="O164" i="2"/>
  <c r="P164" i="2" s="1"/>
  <c r="B164" i="3" s="1"/>
  <c r="B164" i="7" s="1"/>
  <c r="S163" i="2"/>
  <c r="R163" i="2"/>
  <c r="Q163" i="2"/>
  <c r="P163" i="2"/>
  <c r="B163" i="3" s="1"/>
  <c r="B163" i="7" s="1"/>
  <c r="O163" i="2"/>
  <c r="S162" i="2"/>
  <c r="R162" i="2"/>
  <c r="Q162" i="2"/>
  <c r="P162" i="2"/>
  <c r="B162" i="3" s="1"/>
  <c r="B162" i="7" s="1"/>
  <c r="O162" i="2"/>
  <c r="S161" i="2"/>
  <c r="R161" i="2"/>
  <c r="Q161" i="2"/>
  <c r="O161" i="2"/>
  <c r="P161" i="2" s="1"/>
  <c r="B161" i="3" s="1"/>
  <c r="B161" i="7" s="1"/>
  <c r="S160" i="2"/>
  <c r="R160" i="2"/>
  <c r="Q160" i="2"/>
  <c r="P160" i="2"/>
  <c r="B160" i="3" s="1"/>
  <c r="B160" i="7" s="1"/>
  <c r="O160" i="2"/>
  <c r="S159" i="2"/>
  <c r="R159" i="2"/>
  <c r="Q159" i="2"/>
  <c r="P159" i="2"/>
  <c r="B159" i="3" s="1"/>
  <c r="B159" i="7" s="1"/>
  <c r="O159" i="2"/>
  <c r="S158" i="2"/>
  <c r="R158" i="2"/>
  <c r="Q158" i="2"/>
  <c r="O158" i="2"/>
  <c r="P158" i="2" s="1"/>
  <c r="B158" i="3" s="1"/>
  <c r="B158" i="7" s="1"/>
  <c r="S157" i="2"/>
  <c r="R157" i="2"/>
  <c r="Q157" i="2"/>
  <c r="P157" i="2"/>
  <c r="B157" i="3" s="1"/>
  <c r="B157" i="7" s="1"/>
  <c r="O157" i="2"/>
  <c r="S156" i="2"/>
  <c r="R156" i="2"/>
  <c r="Q156" i="2"/>
  <c r="P156" i="2"/>
  <c r="B156" i="3" s="1"/>
  <c r="B156" i="7" s="1"/>
  <c r="O156" i="2"/>
  <c r="S155" i="2"/>
  <c r="R155" i="2"/>
  <c r="Q155" i="2"/>
  <c r="O155" i="2"/>
  <c r="P155" i="2" s="1"/>
  <c r="B155" i="3" s="1"/>
  <c r="B155" i="7" s="1"/>
  <c r="S154" i="2"/>
  <c r="R154" i="2"/>
  <c r="Q154" i="2"/>
  <c r="P154" i="2"/>
  <c r="B154" i="3" s="1"/>
  <c r="B154" i="7" s="1"/>
  <c r="O154" i="2"/>
  <c r="S153" i="2"/>
  <c r="R153" i="2"/>
  <c r="Q153" i="2"/>
  <c r="P153" i="2"/>
  <c r="B153" i="3" s="1"/>
  <c r="B153" i="7" s="1"/>
  <c r="O153" i="2"/>
  <c r="S152" i="2"/>
  <c r="R152" i="2"/>
  <c r="Q152" i="2"/>
  <c r="O152" i="2"/>
  <c r="P152" i="2" s="1"/>
  <c r="B152" i="3" s="1"/>
  <c r="B152" i="7" s="1"/>
  <c r="S151" i="2"/>
  <c r="R151" i="2"/>
  <c r="Q151" i="2"/>
  <c r="P151" i="2"/>
  <c r="B151" i="3" s="1"/>
  <c r="B151" i="7" s="1"/>
  <c r="O151" i="2"/>
  <c r="S150" i="2"/>
  <c r="R150" i="2"/>
  <c r="Q150" i="2"/>
  <c r="P150" i="2"/>
  <c r="B150" i="3" s="1"/>
  <c r="B150" i="7" s="1"/>
  <c r="O150" i="2"/>
  <c r="S149" i="2"/>
  <c r="R149" i="2"/>
  <c r="Q149" i="2"/>
  <c r="O149" i="2"/>
  <c r="P149" i="2" s="1"/>
  <c r="B149" i="3" s="1"/>
  <c r="B149" i="7" s="1"/>
  <c r="S148" i="2"/>
  <c r="R148" i="2"/>
  <c r="Q148" i="2"/>
  <c r="P148" i="2"/>
  <c r="B148" i="3" s="1"/>
  <c r="B148" i="7" s="1"/>
  <c r="O148" i="2"/>
  <c r="S147" i="2"/>
  <c r="R147" i="2"/>
  <c r="Q147" i="2"/>
  <c r="P147" i="2"/>
  <c r="B147" i="3" s="1"/>
  <c r="B147" i="7" s="1"/>
  <c r="O147" i="2"/>
  <c r="S146" i="2"/>
  <c r="R146" i="2"/>
  <c r="Q146" i="2"/>
  <c r="O146" i="2"/>
  <c r="P146" i="2" s="1"/>
  <c r="B146" i="3" s="1"/>
  <c r="B146" i="7" s="1"/>
  <c r="S145" i="2"/>
  <c r="R145" i="2"/>
  <c r="Q145" i="2"/>
  <c r="P145" i="2"/>
  <c r="B145" i="3" s="1"/>
  <c r="B145" i="7" s="1"/>
  <c r="O145" i="2"/>
  <c r="S144" i="2"/>
  <c r="R144" i="2"/>
  <c r="Q144" i="2"/>
  <c r="P144" i="2"/>
  <c r="B144" i="3" s="1"/>
  <c r="B144" i="7" s="1"/>
  <c r="O144" i="2"/>
  <c r="S143" i="2"/>
  <c r="R143" i="2"/>
  <c r="Q143" i="2"/>
  <c r="O143" i="2"/>
  <c r="P143" i="2" s="1"/>
  <c r="B143" i="3" s="1"/>
  <c r="B143" i="7" s="1"/>
  <c r="S142" i="2"/>
  <c r="R142" i="2"/>
  <c r="Q142" i="2"/>
  <c r="P142" i="2"/>
  <c r="B142" i="3" s="1"/>
  <c r="B142" i="7" s="1"/>
  <c r="O142" i="2"/>
  <c r="S141" i="2"/>
  <c r="R141" i="2"/>
  <c r="Q141" i="2"/>
  <c r="P141" i="2"/>
  <c r="B141" i="3" s="1"/>
  <c r="B141" i="7" s="1"/>
  <c r="O141" i="2"/>
  <c r="S140" i="2"/>
  <c r="R140" i="2"/>
  <c r="Q140" i="2"/>
  <c r="O140" i="2"/>
  <c r="P140" i="2" s="1"/>
  <c r="B140" i="3" s="1"/>
  <c r="B140" i="7" s="1"/>
  <c r="S139" i="2"/>
  <c r="R139" i="2"/>
  <c r="Q139" i="2"/>
  <c r="P139" i="2"/>
  <c r="B139" i="3" s="1"/>
  <c r="B139" i="7" s="1"/>
  <c r="O139" i="2"/>
  <c r="S138" i="2"/>
  <c r="R138" i="2"/>
  <c r="Q138" i="2"/>
  <c r="P138" i="2"/>
  <c r="B138" i="3" s="1"/>
  <c r="B138" i="7" s="1"/>
  <c r="O138" i="2"/>
  <c r="S137" i="2"/>
  <c r="R137" i="2"/>
  <c r="Q137" i="2"/>
  <c r="O137" i="2"/>
  <c r="P137" i="2" s="1"/>
  <c r="B137" i="3" s="1"/>
  <c r="B137" i="7" s="1"/>
  <c r="S136" i="2"/>
  <c r="R136" i="2"/>
  <c r="Q136" i="2"/>
  <c r="P136" i="2"/>
  <c r="B136" i="3" s="1"/>
  <c r="B136" i="7" s="1"/>
  <c r="O136" i="2"/>
  <c r="S135" i="2"/>
  <c r="R135" i="2"/>
  <c r="Q135" i="2"/>
  <c r="P135" i="2"/>
  <c r="B135" i="3" s="1"/>
  <c r="B135" i="7" s="1"/>
  <c r="O135" i="2"/>
  <c r="S134" i="2"/>
  <c r="R134" i="2"/>
  <c r="Q134" i="2"/>
  <c r="O134" i="2"/>
  <c r="P134" i="2" s="1"/>
  <c r="B134" i="3" s="1"/>
  <c r="B134" i="7" s="1"/>
  <c r="S133" i="2"/>
  <c r="R133" i="2"/>
  <c r="Q133" i="2"/>
  <c r="P133" i="2"/>
  <c r="B133" i="3" s="1"/>
  <c r="B133" i="7" s="1"/>
  <c r="O133" i="2"/>
  <c r="S132" i="2"/>
  <c r="R132" i="2"/>
  <c r="Q132" i="2"/>
  <c r="P132" i="2"/>
  <c r="B132" i="3" s="1"/>
  <c r="B132" i="7" s="1"/>
  <c r="O132" i="2"/>
  <c r="S131" i="2"/>
  <c r="R131" i="2"/>
  <c r="Q131" i="2"/>
  <c r="O131" i="2"/>
  <c r="P131" i="2" s="1"/>
  <c r="B131" i="3" s="1"/>
  <c r="B131" i="7" s="1"/>
  <c r="S130" i="2"/>
  <c r="R130" i="2"/>
  <c r="Q130" i="2"/>
  <c r="P130" i="2"/>
  <c r="B130" i="3" s="1"/>
  <c r="B130" i="7" s="1"/>
  <c r="O130" i="2"/>
  <c r="S129" i="2"/>
  <c r="R129" i="2"/>
  <c r="Q129" i="2"/>
  <c r="P129" i="2"/>
  <c r="B129" i="3" s="1"/>
  <c r="B129" i="7" s="1"/>
  <c r="O129" i="2"/>
  <c r="S128" i="2"/>
  <c r="R128" i="2"/>
  <c r="Q128" i="2"/>
  <c r="O128" i="2"/>
  <c r="P128" i="2" s="1"/>
  <c r="B128" i="3" s="1"/>
  <c r="B128" i="7" s="1"/>
  <c r="S127" i="2"/>
  <c r="R127" i="2"/>
  <c r="Q127" i="2"/>
  <c r="P127" i="2"/>
  <c r="B127" i="3" s="1"/>
  <c r="B127" i="7" s="1"/>
  <c r="O127" i="2"/>
  <c r="S126" i="2"/>
  <c r="R126" i="2"/>
  <c r="Q126" i="2"/>
  <c r="P126" i="2"/>
  <c r="B126" i="3" s="1"/>
  <c r="B126" i="7" s="1"/>
  <c r="O126" i="2"/>
  <c r="S125" i="2"/>
  <c r="R125" i="2"/>
  <c r="Q125" i="2"/>
  <c r="O125" i="2"/>
  <c r="P125" i="2" s="1"/>
  <c r="B125" i="3" s="1"/>
  <c r="B125" i="7" s="1"/>
  <c r="S124" i="2"/>
  <c r="R124" i="2"/>
  <c r="Q124" i="2"/>
  <c r="P124" i="2"/>
  <c r="B124" i="3" s="1"/>
  <c r="B124" i="7" s="1"/>
  <c r="O124" i="2"/>
  <c r="S123" i="2"/>
  <c r="R123" i="2"/>
  <c r="Q123" i="2"/>
  <c r="P123" i="2"/>
  <c r="B123" i="3" s="1"/>
  <c r="B123" i="7" s="1"/>
  <c r="O123" i="2"/>
  <c r="S122" i="2"/>
  <c r="R122" i="2"/>
  <c r="Q122" i="2"/>
  <c r="O122" i="2"/>
  <c r="P122" i="2" s="1"/>
  <c r="B122" i="3" s="1"/>
  <c r="B122" i="7" s="1"/>
  <c r="S121" i="2"/>
  <c r="R121" i="2"/>
  <c r="Q121" i="2"/>
  <c r="P121" i="2"/>
  <c r="B121" i="3" s="1"/>
  <c r="B121" i="7" s="1"/>
  <c r="O121" i="2"/>
  <c r="S120" i="2"/>
  <c r="R120" i="2"/>
  <c r="Q120" i="2"/>
  <c r="P120" i="2"/>
  <c r="B120" i="3" s="1"/>
  <c r="B120" i="7" s="1"/>
  <c r="O120" i="2"/>
  <c r="S119" i="2"/>
  <c r="R119" i="2"/>
  <c r="Q119" i="2"/>
  <c r="O119" i="2"/>
  <c r="P119" i="2" s="1"/>
  <c r="B119" i="3" s="1"/>
  <c r="B119" i="7" s="1"/>
  <c r="S118" i="2"/>
  <c r="R118" i="2"/>
  <c r="Q118" i="2"/>
  <c r="P118" i="2"/>
  <c r="B118" i="3" s="1"/>
  <c r="B118" i="7" s="1"/>
  <c r="O118" i="2"/>
  <c r="S117" i="2"/>
  <c r="R117" i="2"/>
  <c r="Q117" i="2"/>
  <c r="P117" i="2"/>
  <c r="B117" i="3" s="1"/>
  <c r="B117" i="7" s="1"/>
  <c r="O117" i="2"/>
  <c r="S116" i="2"/>
  <c r="R116" i="2"/>
  <c r="Q116" i="2"/>
  <c r="O116" i="2"/>
  <c r="P116" i="2" s="1"/>
  <c r="B116" i="3" s="1"/>
  <c r="B116" i="7" s="1"/>
  <c r="S115" i="2"/>
  <c r="R115" i="2"/>
  <c r="Q115" i="2"/>
  <c r="P115" i="2"/>
  <c r="B115" i="3" s="1"/>
  <c r="B115" i="7" s="1"/>
  <c r="O115" i="2"/>
  <c r="S114" i="2"/>
  <c r="R114" i="2"/>
  <c r="Q114" i="2"/>
  <c r="P114" i="2"/>
  <c r="B114" i="3" s="1"/>
  <c r="B114" i="7" s="1"/>
  <c r="O114" i="2"/>
  <c r="S113" i="2"/>
  <c r="R113" i="2"/>
  <c r="Q113" i="2"/>
  <c r="O113" i="2"/>
  <c r="P113" i="2" s="1"/>
  <c r="B113" i="3" s="1"/>
  <c r="B113" i="7" s="1"/>
  <c r="S112" i="2"/>
  <c r="R112" i="2"/>
  <c r="Q112" i="2"/>
  <c r="P112" i="2"/>
  <c r="B112" i="3" s="1"/>
  <c r="B112" i="7" s="1"/>
  <c r="O112" i="2"/>
  <c r="S111" i="2"/>
  <c r="R111" i="2"/>
  <c r="Q111" i="2"/>
  <c r="P111" i="2"/>
  <c r="B111" i="3" s="1"/>
  <c r="B111" i="7" s="1"/>
  <c r="O111" i="2"/>
  <c r="S110" i="2"/>
  <c r="R110" i="2"/>
  <c r="Q110" i="2"/>
  <c r="O110" i="2"/>
  <c r="P110" i="2" s="1"/>
  <c r="B110" i="3" s="1"/>
  <c r="B110" i="7" s="1"/>
  <c r="S109" i="2"/>
  <c r="R109" i="2"/>
  <c r="Q109" i="2"/>
  <c r="P109" i="2"/>
  <c r="B109" i="3" s="1"/>
  <c r="B109" i="7" s="1"/>
  <c r="O109" i="2"/>
  <c r="S108" i="2"/>
  <c r="R108" i="2"/>
  <c r="Q108" i="2"/>
  <c r="P108" i="2"/>
  <c r="B108" i="3" s="1"/>
  <c r="B108" i="7" s="1"/>
  <c r="O108" i="2"/>
  <c r="S107" i="2"/>
  <c r="R107" i="2"/>
  <c r="Q107" i="2"/>
  <c r="O107" i="2"/>
  <c r="P107" i="2" s="1"/>
  <c r="B107" i="3" s="1"/>
  <c r="B107" i="7" s="1"/>
  <c r="S106" i="2"/>
  <c r="R106" i="2"/>
  <c r="Q106" i="2"/>
  <c r="P106" i="2"/>
  <c r="B106" i="3" s="1"/>
  <c r="B106" i="7" s="1"/>
  <c r="O106" i="2"/>
  <c r="S105" i="2"/>
  <c r="R105" i="2"/>
  <c r="Q105" i="2"/>
  <c r="P105" i="2"/>
  <c r="B105" i="3" s="1"/>
  <c r="B105" i="7" s="1"/>
  <c r="O105" i="2"/>
  <c r="S104" i="2"/>
  <c r="R104" i="2"/>
  <c r="Q104" i="2"/>
  <c r="O104" i="2"/>
  <c r="P104" i="2" s="1"/>
  <c r="B104" i="3" s="1"/>
  <c r="B104" i="7" s="1"/>
  <c r="S103" i="2"/>
  <c r="R103" i="2"/>
  <c r="Q103" i="2"/>
  <c r="P103" i="2"/>
  <c r="B103" i="3" s="1"/>
  <c r="B103" i="7" s="1"/>
  <c r="O103" i="2"/>
  <c r="S102" i="2"/>
  <c r="R102" i="2"/>
  <c r="Q102" i="2"/>
  <c r="P102" i="2"/>
  <c r="B102" i="3" s="1"/>
  <c r="B102" i="7" s="1"/>
  <c r="O102" i="2"/>
  <c r="S101" i="2"/>
  <c r="R101" i="2"/>
  <c r="Q101" i="2"/>
  <c r="O101" i="2"/>
  <c r="P101" i="2" s="1"/>
  <c r="B101" i="3" s="1"/>
  <c r="B101" i="7" s="1"/>
  <c r="S100" i="2"/>
  <c r="R100" i="2"/>
  <c r="Q100" i="2"/>
  <c r="P100" i="2"/>
  <c r="B100" i="3" s="1"/>
  <c r="B100" i="7" s="1"/>
  <c r="O100" i="2"/>
  <c r="S99" i="2"/>
  <c r="R99" i="2"/>
  <c r="Q99" i="2"/>
  <c r="P99" i="2"/>
  <c r="B99" i="3" s="1"/>
  <c r="B99" i="7" s="1"/>
  <c r="O99" i="2"/>
  <c r="S98" i="2"/>
  <c r="R98" i="2"/>
  <c r="Q98" i="2"/>
  <c r="O98" i="2"/>
  <c r="P98" i="2" s="1"/>
  <c r="B98" i="3" s="1"/>
  <c r="B98" i="7" s="1"/>
  <c r="S97" i="2"/>
  <c r="R97" i="2"/>
  <c r="Q97" i="2"/>
  <c r="P97" i="2"/>
  <c r="B97" i="3" s="1"/>
  <c r="B97" i="7" s="1"/>
  <c r="O97" i="2"/>
  <c r="S96" i="2"/>
  <c r="R96" i="2"/>
  <c r="Q96" i="2"/>
  <c r="P96" i="2"/>
  <c r="B96" i="3" s="1"/>
  <c r="B96" i="7" s="1"/>
  <c r="O96" i="2"/>
  <c r="S95" i="2"/>
  <c r="R95" i="2"/>
  <c r="Q95" i="2"/>
  <c r="O95" i="2"/>
  <c r="P95" i="2" s="1"/>
  <c r="B95" i="3" s="1"/>
  <c r="B95" i="7" s="1"/>
  <c r="S94" i="2"/>
  <c r="R94" i="2"/>
  <c r="Q94" i="2"/>
  <c r="P94" i="2"/>
  <c r="B94" i="3" s="1"/>
  <c r="B94" i="7" s="1"/>
  <c r="O94" i="2"/>
  <c r="S93" i="2"/>
  <c r="R93" i="2"/>
  <c r="Q93" i="2"/>
  <c r="P93" i="2"/>
  <c r="B93" i="3" s="1"/>
  <c r="B93" i="7" s="1"/>
  <c r="O93" i="2"/>
  <c r="S92" i="2"/>
  <c r="R92" i="2"/>
  <c r="Q92" i="2"/>
  <c r="O92" i="2"/>
  <c r="P92" i="2" s="1"/>
  <c r="B92" i="3" s="1"/>
  <c r="B92" i="7" s="1"/>
  <c r="S91" i="2"/>
  <c r="R91" i="2"/>
  <c r="Q91" i="2"/>
  <c r="P91" i="2"/>
  <c r="B91" i="3" s="1"/>
  <c r="B91" i="7" s="1"/>
  <c r="O91" i="2"/>
  <c r="S90" i="2"/>
  <c r="R90" i="2"/>
  <c r="Q90" i="2"/>
  <c r="P90" i="2"/>
  <c r="B90" i="3" s="1"/>
  <c r="B90" i="7" s="1"/>
  <c r="O90" i="2"/>
  <c r="S89" i="2"/>
  <c r="R89" i="2"/>
  <c r="Q89" i="2"/>
  <c r="O89" i="2"/>
  <c r="P89" i="2" s="1"/>
  <c r="B89" i="3" s="1"/>
  <c r="B89" i="7" s="1"/>
  <c r="S88" i="2"/>
  <c r="R88" i="2"/>
  <c r="Q88" i="2"/>
  <c r="P88" i="2"/>
  <c r="B88" i="3" s="1"/>
  <c r="B88" i="7" s="1"/>
  <c r="O88" i="2"/>
  <c r="S87" i="2"/>
  <c r="R87" i="2"/>
  <c r="Q87" i="2"/>
  <c r="P87" i="2"/>
  <c r="B87" i="3" s="1"/>
  <c r="B87" i="7" s="1"/>
  <c r="O87" i="2"/>
  <c r="S86" i="2"/>
  <c r="R86" i="2"/>
  <c r="Q86" i="2"/>
  <c r="O86" i="2"/>
  <c r="P86" i="2" s="1"/>
  <c r="B86" i="3" s="1"/>
  <c r="B86" i="7" s="1"/>
  <c r="S85" i="2"/>
  <c r="R85" i="2"/>
  <c r="Q85" i="2"/>
  <c r="P85" i="2"/>
  <c r="B85" i="3" s="1"/>
  <c r="B85" i="7" s="1"/>
  <c r="O85" i="2"/>
  <c r="S84" i="2"/>
  <c r="R84" i="2"/>
  <c r="Q84" i="2"/>
  <c r="P84" i="2"/>
  <c r="B84" i="3" s="1"/>
  <c r="B84" i="7" s="1"/>
  <c r="O84" i="2"/>
  <c r="S83" i="2"/>
  <c r="R83" i="2"/>
  <c r="Q83" i="2"/>
  <c r="O83" i="2"/>
  <c r="P83" i="2" s="1"/>
  <c r="B83" i="3" s="1"/>
  <c r="B83" i="7" s="1"/>
  <c r="S82" i="2"/>
  <c r="R82" i="2"/>
  <c r="Q82" i="2"/>
  <c r="P82" i="2"/>
  <c r="B82" i="3" s="1"/>
  <c r="B82" i="7" s="1"/>
  <c r="O82" i="2"/>
  <c r="S81" i="2"/>
  <c r="R81" i="2"/>
  <c r="Q81" i="2"/>
  <c r="P81" i="2"/>
  <c r="B81" i="3" s="1"/>
  <c r="B81" i="7" s="1"/>
  <c r="O81" i="2"/>
  <c r="S80" i="2"/>
  <c r="R80" i="2"/>
  <c r="Q80" i="2"/>
  <c r="O80" i="2"/>
  <c r="P80" i="2" s="1"/>
  <c r="B80" i="3" s="1"/>
  <c r="B80" i="7" s="1"/>
  <c r="S79" i="2"/>
  <c r="R79" i="2"/>
  <c r="Q79" i="2"/>
  <c r="P79" i="2"/>
  <c r="B79" i="3" s="1"/>
  <c r="B79" i="7" s="1"/>
  <c r="O79" i="2"/>
  <c r="S78" i="2"/>
  <c r="R78" i="2"/>
  <c r="Q78" i="2"/>
  <c r="P78" i="2"/>
  <c r="B78" i="3" s="1"/>
  <c r="B78" i="7" s="1"/>
  <c r="O78" i="2"/>
  <c r="S77" i="2"/>
  <c r="R77" i="2"/>
  <c r="Q77" i="2"/>
  <c r="O77" i="2"/>
  <c r="P77" i="2" s="1"/>
  <c r="B77" i="3" s="1"/>
  <c r="B77" i="7" s="1"/>
  <c r="S76" i="2"/>
  <c r="R76" i="2"/>
  <c r="Q76" i="2"/>
  <c r="P76" i="2"/>
  <c r="B76" i="3" s="1"/>
  <c r="B76" i="7" s="1"/>
  <c r="O76" i="2"/>
  <c r="S75" i="2"/>
  <c r="R75" i="2"/>
  <c r="Q75" i="2"/>
  <c r="P75" i="2"/>
  <c r="B75" i="3" s="1"/>
  <c r="B75" i="7" s="1"/>
  <c r="O75" i="2"/>
  <c r="S74" i="2"/>
  <c r="R74" i="2"/>
  <c r="Q74" i="2"/>
  <c r="O74" i="2"/>
  <c r="P74" i="2" s="1"/>
  <c r="B74" i="3" s="1"/>
  <c r="B74" i="7" s="1"/>
  <c r="S73" i="2"/>
  <c r="R73" i="2"/>
  <c r="Q73" i="2"/>
  <c r="P73" i="2"/>
  <c r="B73" i="3" s="1"/>
  <c r="B73" i="7" s="1"/>
  <c r="O73" i="2"/>
  <c r="S72" i="2"/>
  <c r="R72" i="2"/>
  <c r="Q72" i="2"/>
  <c r="P72" i="2"/>
  <c r="B72" i="3" s="1"/>
  <c r="B72" i="7" s="1"/>
  <c r="O72" i="2"/>
  <c r="S71" i="2"/>
  <c r="R71" i="2"/>
  <c r="Q71" i="2"/>
  <c r="O71" i="2"/>
  <c r="P71" i="2" s="1"/>
  <c r="B71" i="3" s="1"/>
  <c r="B71" i="7" s="1"/>
  <c r="S70" i="2"/>
  <c r="R70" i="2"/>
  <c r="Q70" i="2"/>
  <c r="P70" i="2"/>
  <c r="B70" i="3" s="1"/>
  <c r="B70" i="7" s="1"/>
  <c r="O70" i="2"/>
  <c r="S69" i="2"/>
  <c r="R69" i="2"/>
  <c r="Q69" i="2"/>
  <c r="P69" i="2"/>
  <c r="B69" i="3" s="1"/>
  <c r="B69" i="7" s="1"/>
  <c r="O69" i="2"/>
  <c r="S68" i="2"/>
  <c r="R68" i="2"/>
  <c r="Q68" i="2"/>
  <c r="O68" i="2"/>
  <c r="P68" i="2" s="1"/>
  <c r="B68" i="3" s="1"/>
  <c r="B68" i="7" s="1"/>
  <c r="S67" i="2"/>
  <c r="R67" i="2"/>
  <c r="Q67" i="2"/>
  <c r="P67" i="2"/>
  <c r="B67" i="3" s="1"/>
  <c r="B67" i="7" s="1"/>
  <c r="O67" i="2"/>
  <c r="S66" i="2"/>
  <c r="R66" i="2"/>
  <c r="Q66" i="2"/>
  <c r="P66" i="2"/>
  <c r="B66" i="3" s="1"/>
  <c r="B66" i="7" s="1"/>
  <c r="O66" i="2"/>
  <c r="S65" i="2"/>
  <c r="R65" i="2"/>
  <c r="Q65" i="2"/>
  <c r="O65" i="2"/>
  <c r="P65" i="2" s="1"/>
  <c r="B65" i="3" s="1"/>
  <c r="B65" i="7" s="1"/>
  <c r="S64" i="2"/>
  <c r="R64" i="2"/>
  <c r="Q64" i="2"/>
  <c r="P64" i="2"/>
  <c r="B64" i="3" s="1"/>
  <c r="B64" i="7" s="1"/>
  <c r="O64" i="2"/>
  <c r="S63" i="2"/>
  <c r="R63" i="2"/>
  <c r="Q63" i="2"/>
  <c r="P63" i="2"/>
  <c r="B63" i="3" s="1"/>
  <c r="B63" i="7" s="1"/>
  <c r="O63" i="2"/>
  <c r="S62" i="2"/>
  <c r="R62" i="2"/>
  <c r="Q62" i="2"/>
  <c r="O62" i="2"/>
  <c r="P62" i="2" s="1"/>
  <c r="B62" i="3" s="1"/>
  <c r="B62" i="7" s="1"/>
  <c r="S61" i="2"/>
  <c r="R61" i="2"/>
  <c r="Q61" i="2"/>
  <c r="P61" i="2"/>
  <c r="B61" i="3" s="1"/>
  <c r="B61" i="7" s="1"/>
  <c r="O61" i="2"/>
  <c r="S60" i="2"/>
  <c r="R60" i="2"/>
  <c r="Q60" i="2"/>
  <c r="P60" i="2"/>
  <c r="B60" i="3" s="1"/>
  <c r="B60" i="7" s="1"/>
  <c r="O60" i="2"/>
  <c r="S59" i="2"/>
  <c r="R59" i="2"/>
  <c r="Q59" i="2"/>
  <c r="O59" i="2"/>
  <c r="P59" i="2" s="1"/>
  <c r="B59" i="3" s="1"/>
  <c r="B59" i="7" s="1"/>
  <c r="S58" i="2"/>
  <c r="R58" i="2"/>
  <c r="Q58" i="2"/>
  <c r="P58" i="2"/>
  <c r="B58" i="3" s="1"/>
  <c r="B58" i="7" s="1"/>
  <c r="O58" i="2"/>
  <c r="S57" i="2"/>
  <c r="R57" i="2"/>
  <c r="Q57" i="2"/>
  <c r="P57" i="2"/>
  <c r="B57" i="3" s="1"/>
  <c r="B57" i="7" s="1"/>
  <c r="O57" i="2"/>
  <c r="S56" i="2"/>
  <c r="R56" i="2"/>
  <c r="Q56" i="2"/>
  <c r="O56" i="2"/>
  <c r="P56" i="2" s="1"/>
  <c r="B56" i="3" s="1"/>
  <c r="B56" i="7" s="1"/>
  <c r="S55" i="2"/>
  <c r="R55" i="2"/>
  <c r="Q55" i="2"/>
  <c r="P55" i="2"/>
  <c r="B55" i="3" s="1"/>
  <c r="B55" i="7" s="1"/>
  <c r="O55" i="2"/>
  <c r="S54" i="2"/>
  <c r="R54" i="2"/>
  <c r="Q54" i="2"/>
  <c r="P54" i="2"/>
  <c r="B54" i="3" s="1"/>
  <c r="B54" i="7" s="1"/>
  <c r="O54" i="2"/>
  <c r="S53" i="2"/>
  <c r="R53" i="2"/>
  <c r="Q53" i="2"/>
  <c r="O53" i="2"/>
  <c r="P53" i="2" s="1"/>
  <c r="B53" i="3" s="1"/>
  <c r="B53" i="7" s="1"/>
  <c r="S52" i="2"/>
  <c r="R52" i="2"/>
  <c r="Q52" i="2"/>
  <c r="P52" i="2"/>
  <c r="B52" i="3" s="1"/>
  <c r="B52" i="7" s="1"/>
  <c r="O52" i="2"/>
  <c r="S51" i="2"/>
  <c r="R51" i="2"/>
  <c r="Q51" i="2"/>
  <c r="P51" i="2"/>
  <c r="B51" i="3" s="1"/>
  <c r="B51" i="7" s="1"/>
  <c r="O51" i="2"/>
  <c r="S50" i="2"/>
  <c r="R50" i="2"/>
  <c r="Q50" i="2"/>
  <c r="O50" i="2"/>
  <c r="P50" i="2" s="1"/>
  <c r="B50" i="3" s="1"/>
  <c r="B50" i="7" s="1"/>
  <c r="S49" i="2"/>
  <c r="R49" i="2"/>
  <c r="Q49" i="2"/>
  <c r="P49" i="2"/>
  <c r="B49" i="3" s="1"/>
  <c r="B49" i="7" s="1"/>
  <c r="O49" i="2"/>
  <c r="S48" i="2"/>
  <c r="R48" i="2"/>
  <c r="Q48" i="2"/>
  <c r="P48" i="2"/>
  <c r="B48" i="3" s="1"/>
  <c r="B48" i="7" s="1"/>
  <c r="O48" i="2"/>
  <c r="S47" i="2"/>
  <c r="R47" i="2"/>
  <c r="Q47" i="2"/>
  <c r="O47" i="2"/>
  <c r="P47" i="2" s="1"/>
  <c r="B47" i="3" s="1"/>
  <c r="B47" i="7" s="1"/>
  <c r="S46" i="2"/>
  <c r="R46" i="2"/>
  <c r="Q46" i="2"/>
  <c r="P46" i="2"/>
  <c r="B46" i="3" s="1"/>
  <c r="B46" i="7" s="1"/>
  <c r="O46" i="2"/>
  <c r="S45" i="2"/>
  <c r="R45" i="2"/>
  <c r="Q45" i="2"/>
  <c r="P45" i="2"/>
  <c r="B45" i="3" s="1"/>
  <c r="B45" i="7" s="1"/>
  <c r="O45" i="2"/>
  <c r="S44" i="2"/>
  <c r="R44" i="2"/>
  <c r="Q44" i="2"/>
  <c r="O44" i="2"/>
  <c r="P44" i="2" s="1"/>
  <c r="B44" i="3" s="1"/>
  <c r="B44" i="7" s="1"/>
  <c r="S43" i="2"/>
  <c r="R43" i="2"/>
  <c r="Q43" i="2"/>
  <c r="P43" i="2"/>
  <c r="B43" i="3" s="1"/>
  <c r="B43" i="7" s="1"/>
  <c r="O43" i="2"/>
  <c r="S42" i="2"/>
  <c r="R42" i="2"/>
  <c r="Q42" i="2"/>
  <c r="P42" i="2"/>
  <c r="B42" i="3" s="1"/>
  <c r="B42" i="7" s="1"/>
  <c r="O42" i="2"/>
  <c r="S41" i="2"/>
  <c r="R41" i="2"/>
  <c r="Q41" i="2"/>
  <c r="O41" i="2"/>
  <c r="P41" i="2" s="1"/>
  <c r="B41" i="3" s="1"/>
  <c r="B41" i="7" s="1"/>
  <c r="S40" i="2"/>
  <c r="R40" i="2"/>
  <c r="Q40" i="2"/>
  <c r="P40" i="2"/>
  <c r="B40" i="3" s="1"/>
  <c r="B40" i="7" s="1"/>
  <c r="O40" i="2"/>
  <c r="S39" i="2"/>
  <c r="R39" i="2"/>
  <c r="Q39" i="2"/>
  <c r="P39" i="2"/>
  <c r="B39" i="3" s="1"/>
  <c r="B39" i="7" s="1"/>
  <c r="O39" i="2"/>
  <c r="S38" i="2"/>
  <c r="R38" i="2"/>
  <c r="Q38" i="2"/>
  <c r="O38" i="2"/>
  <c r="P38" i="2" s="1"/>
  <c r="B38" i="3" s="1"/>
  <c r="B38" i="7" s="1"/>
  <c r="S37" i="2"/>
  <c r="R37" i="2"/>
  <c r="Q37" i="2"/>
  <c r="P37" i="2"/>
  <c r="B37" i="3" s="1"/>
  <c r="B37" i="7" s="1"/>
  <c r="O37" i="2"/>
  <c r="S36" i="2"/>
  <c r="R36" i="2"/>
  <c r="Q36" i="2"/>
  <c r="P36" i="2"/>
  <c r="B36" i="3" s="1"/>
  <c r="B36" i="7" s="1"/>
  <c r="O36" i="2"/>
  <c r="S35" i="2"/>
  <c r="R35" i="2"/>
  <c r="Q35" i="2"/>
  <c r="O35" i="2"/>
  <c r="P35" i="2" s="1"/>
  <c r="B35" i="3" s="1"/>
  <c r="B35" i="7" s="1"/>
  <c r="S34" i="2"/>
  <c r="R34" i="2"/>
  <c r="Q34" i="2"/>
  <c r="P34" i="2"/>
  <c r="B34" i="3" s="1"/>
  <c r="B34" i="7" s="1"/>
  <c r="O34" i="2"/>
  <c r="S33" i="2"/>
  <c r="R33" i="2"/>
  <c r="Q33" i="2"/>
  <c r="P33" i="2"/>
  <c r="B33" i="3" s="1"/>
  <c r="B33" i="7" s="1"/>
  <c r="O33" i="2"/>
  <c r="S32" i="2"/>
  <c r="R32" i="2"/>
  <c r="Q32" i="2"/>
  <c r="O32" i="2"/>
  <c r="P32" i="2" s="1"/>
  <c r="B32" i="3" s="1"/>
  <c r="B32" i="7" s="1"/>
  <c r="S31" i="2"/>
  <c r="R31" i="2"/>
  <c r="Q31" i="2"/>
  <c r="P31" i="2"/>
  <c r="B31" i="3" s="1"/>
  <c r="B31" i="7" s="1"/>
  <c r="O31" i="2"/>
  <c r="S30" i="2"/>
  <c r="R30" i="2"/>
  <c r="Q30" i="2"/>
  <c r="P30" i="2"/>
  <c r="B30" i="3" s="1"/>
  <c r="B30" i="7" s="1"/>
  <c r="O30" i="2"/>
  <c r="S29" i="2"/>
  <c r="R29" i="2"/>
  <c r="Q29" i="2"/>
  <c r="O29" i="2"/>
  <c r="P29" i="2" s="1"/>
  <c r="B29" i="3" s="1"/>
  <c r="B29" i="7" s="1"/>
  <c r="S28" i="2"/>
  <c r="R28" i="2"/>
  <c r="Q28" i="2"/>
  <c r="P28" i="2"/>
  <c r="B28" i="3" s="1"/>
  <c r="B28" i="7" s="1"/>
  <c r="O28" i="2"/>
  <c r="S27" i="2"/>
  <c r="R27" i="2"/>
  <c r="Q27" i="2"/>
  <c r="P27" i="2"/>
  <c r="B27" i="3" s="1"/>
  <c r="B27" i="7" s="1"/>
  <c r="O27" i="2"/>
  <c r="S26" i="2"/>
  <c r="R26" i="2"/>
  <c r="Q26" i="2"/>
  <c r="O26" i="2"/>
  <c r="P26" i="2" s="1"/>
  <c r="B26" i="3" s="1"/>
  <c r="B26" i="7" s="1"/>
  <c r="S25" i="2"/>
  <c r="R25" i="2"/>
  <c r="Q25" i="2"/>
  <c r="P25" i="2"/>
  <c r="B25" i="3" s="1"/>
  <c r="B25" i="7" s="1"/>
  <c r="O25" i="2"/>
  <c r="S24" i="2"/>
  <c r="R24" i="2"/>
  <c r="Q24" i="2"/>
  <c r="P24" i="2"/>
  <c r="B24" i="3" s="1"/>
  <c r="B24" i="7" s="1"/>
  <c r="O24" i="2"/>
  <c r="S23" i="2"/>
  <c r="R23" i="2"/>
  <c r="Q23" i="2"/>
  <c r="O23" i="2"/>
  <c r="P23" i="2" s="1"/>
  <c r="B23" i="3" s="1"/>
  <c r="B23" i="7" s="1"/>
  <c r="S22" i="2"/>
  <c r="R22" i="2"/>
  <c r="Q22" i="2"/>
  <c r="P22" i="2"/>
  <c r="B22" i="3" s="1"/>
  <c r="B22" i="7" s="1"/>
  <c r="O22" i="2"/>
  <c r="S21" i="2"/>
  <c r="R21" i="2"/>
  <c r="Q21" i="2"/>
  <c r="P21" i="2"/>
  <c r="B21" i="3" s="1"/>
  <c r="B21" i="7" s="1"/>
  <c r="O21" i="2"/>
  <c r="S20" i="2"/>
  <c r="R20" i="2"/>
  <c r="Q20" i="2"/>
  <c r="O20" i="2"/>
  <c r="P20" i="2" s="1"/>
  <c r="B20" i="3" s="1"/>
  <c r="B20" i="7" s="1"/>
  <c r="S19" i="2"/>
  <c r="R19" i="2"/>
  <c r="Q19" i="2"/>
  <c r="P19" i="2"/>
  <c r="B19" i="3" s="1"/>
  <c r="B19" i="7" s="1"/>
  <c r="O19" i="2"/>
  <c r="S18" i="2"/>
  <c r="R18" i="2"/>
  <c r="Q18" i="2"/>
  <c r="P18" i="2"/>
  <c r="B18" i="3" s="1"/>
  <c r="B18" i="7" s="1"/>
  <c r="O18" i="2"/>
  <c r="S17" i="2"/>
  <c r="R17" i="2"/>
  <c r="Q17" i="2"/>
  <c r="O17" i="2"/>
  <c r="P17" i="2" s="1"/>
  <c r="B17" i="3" s="1"/>
  <c r="B17" i="7" s="1"/>
  <c r="S16" i="2"/>
  <c r="R16" i="2"/>
  <c r="Q16" i="2"/>
  <c r="P16" i="2"/>
  <c r="B16" i="3" s="1"/>
  <c r="B16" i="7" s="1"/>
  <c r="O16" i="2"/>
  <c r="S15" i="2"/>
  <c r="R15" i="2"/>
  <c r="Q15" i="2"/>
  <c r="P15" i="2"/>
  <c r="B15" i="3" s="1"/>
  <c r="B15" i="7" s="1"/>
  <c r="O15" i="2"/>
  <c r="S14" i="2"/>
  <c r="R14" i="2"/>
  <c r="Q14" i="2"/>
  <c r="O14" i="2"/>
  <c r="P14" i="2" s="1"/>
  <c r="B14" i="3" s="1"/>
  <c r="B14" i="7" s="1"/>
  <c r="S13" i="2"/>
  <c r="R13" i="2"/>
  <c r="Q13" i="2"/>
  <c r="P13" i="2"/>
  <c r="B13" i="3" s="1"/>
  <c r="B13" i="7" s="1"/>
  <c r="O13" i="2"/>
  <c r="S12" i="2"/>
  <c r="R12" i="2"/>
  <c r="Q12" i="2"/>
  <c r="P12" i="2"/>
  <c r="B12" i="3" s="1"/>
  <c r="B12" i="7" s="1"/>
  <c r="O12" i="2"/>
  <c r="S11" i="2"/>
  <c r="R11" i="2"/>
  <c r="Q11" i="2"/>
  <c r="O11" i="2"/>
  <c r="P11" i="2" s="1"/>
  <c r="B11" i="3" s="1"/>
  <c r="B11" i="7" s="1"/>
  <c r="S10" i="2"/>
  <c r="R10" i="2"/>
  <c r="Q10" i="2"/>
  <c r="P10" i="2"/>
  <c r="B10" i="3" s="1"/>
  <c r="B10" i="7" s="1"/>
  <c r="O10" i="2"/>
  <c r="S9" i="2"/>
  <c r="R9" i="2"/>
  <c r="Q9" i="2"/>
  <c r="P9" i="2"/>
  <c r="B9" i="3" s="1"/>
  <c r="B9" i="7" s="1"/>
  <c r="O9" i="2"/>
  <c r="S8" i="2"/>
  <c r="R8" i="2"/>
  <c r="Q8" i="2"/>
  <c r="O8" i="2"/>
  <c r="P8" i="2" s="1"/>
  <c r="B8" i="3" s="1"/>
  <c r="B8" i="7" s="1"/>
  <c r="S7" i="2"/>
  <c r="R7" i="2"/>
  <c r="Q7" i="2"/>
  <c r="P7" i="2"/>
  <c r="B7" i="3" s="1"/>
  <c r="B7" i="7" s="1"/>
  <c r="O7" i="2"/>
  <c r="S6" i="2"/>
  <c r="R6" i="2"/>
  <c r="Q6" i="2"/>
  <c r="P6" i="2"/>
  <c r="B6" i="3" s="1"/>
  <c r="B6" i="7" s="1"/>
  <c r="O6" i="2"/>
  <c r="S5" i="2"/>
  <c r="R5" i="2"/>
  <c r="Q5" i="2"/>
  <c r="O5" i="2"/>
  <c r="P5" i="2" s="1"/>
  <c r="B5" i="3" s="1"/>
  <c r="B5" i="7" s="1"/>
  <c r="S4" i="2"/>
  <c r="R4" i="2"/>
  <c r="Q4" i="2"/>
  <c r="P4" i="2"/>
  <c r="B4" i="3" s="1"/>
  <c r="B4" i="7" s="1"/>
  <c r="O4" i="2"/>
  <c r="S3" i="2"/>
  <c r="R3" i="2"/>
  <c r="Q3" i="2"/>
  <c r="P3" i="2"/>
  <c r="B3" i="3" s="1"/>
  <c r="B3" i="7" s="1"/>
  <c r="O3" i="2"/>
  <c r="S2" i="2"/>
  <c r="R2" i="2"/>
  <c r="Q2" i="2"/>
  <c r="O2" i="2"/>
  <c r="P2" i="2" s="1"/>
  <c r="B2" i="3" s="1"/>
  <c r="B2" i="7" s="1"/>
  <c r="N2" i="3" l="1"/>
  <c r="N2" i="7" s="1"/>
  <c r="N3" i="3"/>
  <c r="N3" i="7" s="1"/>
  <c r="N4" i="3"/>
  <c r="N4" i="7" s="1"/>
  <c r="N5" i="3"/>
  <c r="N5" i="7" s="1"/>
  <c r="N6" i="3"/>
  <c r="N6" i="7" s="1"/>
  <c r="N7" i="3"/>
  <c r="N7" i="7" s="1"/>
  <c r="N8" i="3"/>
  <c r="N8" i="7" s="1"/>
  <c r="N9" i="3"/>
  <c r="N9" i="7" s="1"/>
  <c r="N10" i="3"/>
  <c r="N10" i="7" s="1"/>
  <c r="N11" i="3"/>
  <c r="N11" i="7" s="1"/>
  <c r="N12" i="3"/>
  <c r="N12" i="7" s="1"/>
  <c r="N13" i="3"/>
  <c r="N13" i="7" s="1"/>
  <c r="N14" i="3"/>
  <c r="N14" i="7" s="1"/>
  <c r="N15" i="3"/>
  <c r="N15" i="7" s="1"/>
  <c r="N16" i="3"/>
  <c r="N16" i="7" s="1"/>
  <c r="N17" i="3"/>
  <c r="N17" i="7" s="1"/>
  <c r="N18" i="3"/>
  <c r="N18" i="7" s="1"/>
  <c r="N19" i="3"/>
  <c r="N19" i="7" s="1"/>
  <c r="N20" i="3"/>
  <c r="N20" i="7" s="1"/>
  <c r="N21" i="3"/>
  <c r="N21" i="7" s="1"/>
  <c r="N22" i="3"/>
  <c r="N22" i="7" s="1"/>
  <c r="N23" i="3"/>
  <c r="N23" i="7" s="1"/>
  <c r="N24" i="3"/>
  <c r="N24" i="7" s="1"/>
  <c r="N25" i="3"/>
  <c r="N25" i="7" s="1"/>
  <c r="N26" i="3"/>
  <c r="N26" i="7" s="1"/>
  <c r="N27" i="3"/>
  <c r="N27" i="7" s="1"/>
  <c r="N28" i="3"/>
  <c r="N28" i="7" s="1"/>
  <c r="N29" i="3"/>
  <c r="N29" i="7" s="1"/>
  <c r="N30" i="3"/>
  <c r="N30" i="7" s="1"/>
  <c r="N31" i="3"/>
  <c r="N31" i="7" s="1"/>
  <c r="N32" i="3"/>
  <c r="N32" i="7" s="1"/>
  <c r="N33" i="3"/>
  <c r="N33" i="7" s="1"/>
  <c r="N34" i="3"/>
  <c r="N34" i="7" s="1"/>
  <c r="N35" i="3"/>
  <c r="N35" i="7" s="1"/>
  <c r="N36" i="3"/>
  <c r="N36" i="7" s="1"/>
  <c r="N37" i="3"/>
  <c r="N37" i="7" s="1"/>
  <c r="N38" i="3"/>
  <c r="N38" i="7" s="1"/>
  <c r="N39" i="3"/>
  <c r="N39" i="7" s="1"/>
  <c r="N40" i="3"/>
  <c r="N40" i="7" s="1"/>
  <c r="N41" i="3"/>
  <c r="N41" i="7" s="1"/>
  <c r="N42" i="3"/>
  <c r="N42" i="7" s="1"/>
  <c r="N43" i="3"/>
  <c r="N43" i="7" s="1"/>
  <c r="N44" i="3"/>
  <c r="N44" i="7" s="1"/>
  <c r="N45" i="3"/>
  <c r="N45" i="7" s="1"/>
  <c r="N46" i="3"/>
  <c r="N46" i="7" s="1"/>
  <c r="N47" i="3"/>
  <c r="N47" i="7" s="1"/>
  <c r="N48" i="3"/>
  <c r="N48" i="7" s="1"/>
  <c r="N49" i="3"/>
  <c r="N49" i="7" s="1"/>
  <c r="N50" i="3"/>
  <c r="N50" i="7" s="1"/>
  <c r="Q17" i="7"/>
  <c r="Q20" i="7"/>
  <c r="Q23" i="7"/>
  <c r="M2" i="3"/>
  <c r="M2" i="7" s="1"/>
  <c r="Q2" i="7" s="1"/>
  <c r="M3" i="3"/>
  <c r="M3" i="7" s="1"/>
  <c r="Q3" i="7" s="1"/>
  <c r="M4" i="3"/>
  <c r="M4" i="7" s="1"/>
  <c r="Q4" i="7" s="1"/>
  <c r="M5" i="3"/>
  <c r="M5" i="7" s="1"/>
  <c r="Q5" i="7" s="1"/>
  <c r="M6" i="3"/>
  <c r="M6" i="7" s="1"/>
  <c r="Q6" i="7" s="1"/>
  <c r="M7" i="3"/>
  <c r="M7" i="7" s="1"/>
  <c r="Q7" i="7" s="1"/>
  <c r="M8" i="3"/>
  <c r="M8" i="7" s="1"/>
  <c r="Q8" i="7" s="1"/>
  <c r="M9" i="3"/>
  <c r="M9" i="7" s="1"/>
  <c r="Q9" i="7" s="1"/>
  <c r="M10" i="3"/>
  <c r="M10" i="7" s="1"/>
  <c r="Q10" i="7" s="1"/>
  <c r="M11" i="3"/>
  <c r="M11" i="7" s="1"/>
  <c r="Q11" i="7" s="1"/>
  <c r="M12" i="3"/>
  <c r="M12" i="7" s="1"/>
  <c r="Q12" i="7" s="1"/>
  <c r="M13" i="3"/>
  <c r="M13" i="7" s="1"/>
  <c r="Q13" i="7" s="1"/>
  <c r="M14" i="3"/>
  <c r="M14" i="7" s="1"/>
  <c r="Q14" i="7" s="1"/>
  <c r="M15" i="3"/>
  <c r="M15" i="7" s="1"/>
  <c r="Q15" i="7" s="1"/>
  <c r="M16" i="3"/>
  <c r="M16" i="7" s="1"/>
  <c r="Q16" i="7" s="1"/>
  <c r="M17" i="3"/>
  <c r="M17" i="7" s="1"/>
  <c r="M18" i="3"/>
  <c r="M18" i="7" s="1"/>
  <c r="Q18" i="7" s="1"/>
  <c r="M19" i="3"/>
  <c r="M19" i="7" s="1"/>
  <c r="Q19" i="7" s="1"/>
  <c r="M20" i="3"/>
  <c r="M20" i="7" s="1"/>
  <c r="M21" i="3"/>
  <c r="M21" i="7" s="1"/>
  <c r="Q21" i="7" s="1"/>
  <c r="M22" i="3"/>
  <c r="M22" i="7" s="1"/>
  <c r="Q22" i="7" s="1"/>
  <c r="M23" i="3"/>
  <c r="M23" i="7" s="1"/>
  <c r="M24" i="3"/>
  <c r="M24" i="7" s="1"/>
  <c r="Q24" i="7" s="1"/>
  <c r="M25" i="3"/>
  <c r="M25" i="7" s="1"/>
  <c r="Q25" i="7" s="1"/>
  <c r="M26" i="3"/>
  <c r="M26" i="7" s="1"/>
  <c r="Q26" i="7" s="1"/>
  <c r="M27" i="3"/>
  <c r="M27" i="7" s="1"/>
  <c r="Q27" i="7" s="1"/>
  <c r="M28" i="3"/>
  <c r="M28" i="7" s="1"/>
  <c r="Q28" i="7" s="1"/>
  <c r="M29" i="3"/>
  <c r="M29" i="7" s="1"/>
  <c r="Q29" i="7" s="1"/>
  <c r="M30" i="3"/>
  <c r="M30" i="7" s="1"/>
  <c r="Q30" i="7" s="1"/>
  <c r="M31" i="3"/>
  <c r="M31" i="7" s="1"/>
  <c r="Q31" i="7" s="1"/>
  <c r="M32" i="3"/>
  <c r="M32" i="7" s="1"/>
  <c r="Q32" i="7" s="1"/>
  <c r="M33" i="3"/>
  <c r="M33" i="7" s="1"/>
  <c r="Q33" i="7" s="1"/>
  <c r="M34" i="3"/>
  <c r="M34" i="7" s="1"/>
  <c r="Q34" i="7" s="1"/>
  <c r="M35" i="3"/>
  <c r="M35" i="7" s="1"/>
  <c r="Q35" i="7" s="1"/>
  <c r="M36" i="3"/>
  <c r="M36" i="7" s="1"/>
  <c r="Q36" i="7" s="1"/>
  <c r="M37" i="3"/>
  <c r="M37" i="7" s="1"/>
  <c r="Q37" i="7" s="1"/>
  <c r="M38" i="3"/>
  <c r="M38" i="7" s="1"/>
  <c r="Q38" i="7" s="1"/>
  <c r="M39" i="3"/>
  <c r="M39" i="7" s="1"/>
  <c r="Q39" i="7" s="1"/>
  <c r="M40" i="3"/>
  <c r="M40" i="7" s="1"/>
  <c r="Q40" i="7" s="1"/>
  <c r="M41" i="3"/>
  <c r="M41" i="7" s="1"/>
  <c r="Q41" i="7" s="1"/>
  <c r="M42" i="3"/>
  <c r="M42" i="7" s="1"/>
  <c r="Q42" i="7" s="1"/>
  <c r="M43" i="3"/>
  <c r="M43" i="7" s="1"/>
  <c r="Q43" i="7" s="1"/>
  <c r="M44" i="3"/>
  <c r="M44" i="7" s="1"/>
  <c r="Q44" i="7" s="1"/>
  <c r="M45" i="3"/>
  <c r="M45" i="7" s="1"/>
  <c r="Q45" i="7" s="1"/>
  <c r="M46" i="3"/>
  <c r="M46" i="7" s="1"/>
  <c r="Q46" i="7" s="1"/>
  <c r="M47" i="3"/>
  <c r="M47" i="7" s="1"/>
  <c r="Q47" i="7" s="1"/>
  <c r="M48" i="3"/>
  <c r="M48" i="7" s="1"/>
  <c r="Q48" i="7" s="1"/>
  <c r="M49" i="3"/>
  <c r="M49" i="7" s="1"/>
  <c r="Q49" i="7" s="1"/>
  <c r="M50" i="3"/>
  <c r="M50" i="7" s="1"/>
  <c r="Q50" i="7" s="1"/>
  <c r="D51" i="7"/>
  <c r="M51" i="3"/>
  <c r="M51" i="7" s="1"/>
  <c r="Q51" i="7" s="1"/>
  <c r="N51" i="3"/>
  <c r="N51" i="7" s="1"/>
  <c r="O51" i="3"/>
  <c r="O51" i="7" s="1"/>
  <c r="N52" i="3"/>
  <c r="N52" i="7" s="1"/>
  <c r="N53" i="3"/>
  <c r="N53" i="7" s="1"/>
  <c r="N54" i="3"/>
  <c r="N54" i="7" s="1"/>
  <c r="N55" i="3"/>
  <c r="N55" i="7" s="1"/>
  <c r="N56" i="3"/>
  <c r="N56" i="7" s="1"/>
  <c r="N57" i="3"/>
  <c r="N57" i="7" s="1"/>
  <c r="N58" i="3"/>
  <c r="N58" i="7" s="1"/>
  <c r="N59" i="3"/>
  <c r="N59" i="7" s="1"/>
  <c r="N60" i="3"/>
  <c r="N60" i="7" s="1"/>
  <c r="N61" i="3"/>
  <c r="N61" i="7" s="1"/>
  <c r="N62" i="3"/>
  <c r="N62" i="7" s="1"/>
  <c r="N63" i="3"/>
  <c r="N63" i="7" s="1"/>
  <c r="N64" i="3"/>
  <c r="N64" i="7" s="1"/>
  <c r="N65" i="3"/>
  <c r="N65" i="7" s="1"/>
  <c r="N66" i="3"/>
  <c r="N66" i="7" s="1"/>
  <c r="N67" i="3"/>
  <c r="N67" i="7" s="1"/>
  <c r="N68" i="3"/>
  <c r="N68" i="7" s="1"/>
  <c r="N69" i="3"/>
  <c r="N69" i="7" s="1"/>
  <c r="N70" i="3"/>
  <c r="N70" i="7" s="1"/>
  <c r="N71" i="3"/>
  <c r="N71" i="7" s="1"/>
  <c r="N72" i="3"/>
  <c r="N72" i="7" s="1"/>
  <c r="N73" i="3"/>
  <c r="N73" i="7" s="1"/>
  <c r="N74" i="3"/>
  <c r="N74" i="7" s="1"/>
  <c r="N75" i="3"/>
  <c r="N75" i="7" s="1"/>
  <c r="N76" i="3"/>
  <c r="N76" i="7" s="1"/>
  <c r="N77" i="3"/>
  <c r="N77" i="7" s="1"/>
  <c r="N78" i="3"/>
  <c r="N78" i="7" s="1"/>
  <c r="N79" i="3"/>
  <c r="N79" i="7" s="1"/>
  <c r="N80" i="3"/>
  <c r="N80" i="7" s="1"/>
  <c r="N81" i="3"/>
  <c r="N81" i="7" s="1"/>
  <c r="N82" i="3"/>
  <c r="N82" i="7" s="1"/>
  <c r="N83" i="3"/>
  <c r="N83" i="7" s="1"/>
  <c r="N84" i="3"/>
  <c r="N84" i="7" s="1"/>
  <c r="N85" i="3"/>
  <c r="N85" i="7" s="1"/>
  <c r="M52" i="3"/>
  <c r="M52" i="7" s="1"/>
  <c r="Q52" i="7" s="1"/>
  <c r="M53" i="3"/>
  <c r="M53" i="7" s="1"/>
  <c r="Q53" i="7" s="1"/>
  <c r="M54" i="3"/>
  <c r="M54" i="7" s="1"/>
  <c r="Q54" i="7" s="1"/>
  <c r="M55" i="3"/>
  <c r="M55" i="7" s="1"/>
  <c r="Q55" i="7" s="1"/>
  <c r="M56" i="3"/>
  <c r="M56" i="7" s="1"/>
  <c r="Q56" i="7" s="1"/>
  <c r="M57" i="3"/>
  <c r="M57" i="7" s="1"/>
  <c r="Q57" i="7" s="1"/>
  <c r="M58" i="3"/>
  <c r="M58" i="7" s="1"/>
  <c r="Q58" i="7" s="1"/>
  <c r="M59" i="3"/>
  <c r="M59" i="7" s="1"/>
  <c r="Q59" i="7" s="1"/>
  <c r="M60" i="3"/>
  <c r="M60" i="7" s="1"/>
  <c r="Q60" i="7" s="1"/>
  <c r="M61" i="3"/>
  <c r="M61" i="7" s="1"/>
  <c r="Q61" i="7" s="1"/>
  <c r="M62" i="3"/>
  <c r="M62" i="7" s="1"/>
  <c r="Q62" i="7" s="1"/>
  <c r="M63" i="3"/>
  <c r="M63" i="7" s="1"/>
  <c r="Q63" i="7" s="1"/>
  <c r="M64" i="3"/>
  <c r="M64" i="7" s="1"/>
  <c r="Q64" i="7" s="1"/>
  <c r="M65" i="3"/>
  <c r="M65" i="7" s="1"/>
  <c r="Q65" i="7" s="1"/>
  <c r="M66" i="3"/>
  <c r="M66" i="7" s="1"/>
  <c r="Q66" i="7" s="1"/>
  <c r="M67" i="3"/>
  <c r="M67" i="7" s="1"/>
  <c r="Q67" i="7" s="1"/>
  <c r="M68" i="3"/>
  <c r="M68" i="7" s="1"/>
  <c r="Q68" i="7" s="1"/>
  <c r="M69" i="3"/>
  <c r="M69" i="7" s="1"/>
  <c r="Q69" i="7" s="1"/>
  <c r="M70" i="3"/>
  <c r="M70" i="7" s="1"/>
  <c r="Q70" i="7" s="1"/>
  <c r="M71" i="3"/>
  <c r="M71" i="7" s="1"/>
  <c r="Q71" i="7" s="1"/>
  <c r="M72" i="3"/>
  <c r="M72" i="7" s="1"/>
  <c r="Q72" i="7" s="1"/>
  <c r="M73" i="3"/>
  <c r="M73" i="7" s="1"/>
  <c r="Q73" i="7" s="1"/>
  <c r="M74" i="3"/>
  <c r="M74" i="7" s="1"/>
  <c r="Q74" i="7" s="1"/>
  <c r="M75" i="3"/>
  <c r="M75" i="7" s="1"/>
  <c r="Q75" i="7" s="1"/>
  <c r="M76" i="3"/>
  <c r="M76" i="7" s="1"/>
  <c r="Q76" i="7" s="1"/>
  <c r="M77" i="3"/>
  <c r="M77" i="7" s="1"/>
  <c r="Q77" i="7" s="1"/>
  <c r="M78" i="3"/>
  <c r="M78" i="7" s="1"/>
  <c r="Q78" i="7" s="1"/>
  <c r="M79" i="3"/>
  <c r="M79" i="7" s="1"/>
  <c r="Q79" i="7" s="1"/>
  <c r="M80" i="3"/>
  <c r="M80" i="7" s="1"/>
  <c r="Q80" i="7" s="1"/>
  <c r="M81" i="3"/>
  <c r="M81" i="7" s="1"/>
  <c r="Q81" i="7" s="1"/>
  <c r="M82" i="3"/>
  <c r="M82" i="7" s="1"/>
  <c r="Q82" i="7" s="1"/>
  <c r="M83" i="3"/>
  <c r="M83" i="7" s="1"/>
  <c r="Q83" i="7" s="1"/>
  <c r="M84" i="3"/>
  <c r="M84" i="7" s="1"/>
  <c r="Q84" i="7" s="1"/>
  <c r="M85" i="3"/>
  <c r="M85" i="7" s="1"/>
  <c r="Q85" i="7" s="1"/>
  <c r="M86" i="3"/>
  <c r="M86" i="7" s="1"/>
  <c r="Q86" i="7" s="1"/>
  <c r="M87" i="3"/>
  <c r="M87" i="7" s="1"/>
  <c r="Q87" i="7" s="1"/>
  <c r="M88" i="3"/>
  <c r="M88" i="7" s="1"/>
  <c r="Q88" i="7" s="1"/>
  <c r="M89" i="3"/>
  <c r="M89" i="7" s="1"/>
  <c r="Q89" i="7" s="1"/>
  <c r="M90" i="3"/>
  <c r="M90" i="7" s="1"/>
  <c r="Q90" i="7" s="1"/>
  <c r="M91" i="3"/>
  <c r="M91" i="7" s="1"/>
  <c r="Q91" i="7" s="1"/>
  <c r="M92" i="3"/>
  <c r="M92" i="7" s="1"/>
  <c r="Q92" i="7" s="1"/>
  <c r="M93" i="3"/>
  <c r="M93" i="7" s="1"/>
  <c r="Q93" i="7" s="1"/>
  <c r="M94" i="3"/>
  <c r="M94" i="7" s="1"/>
  <c r="Q94" i="7" s="1"/>
  <c r="M95" i="3"/>
  <c r="M95" i="7" s="1"/>
  <c r="Q95" i="7" s="1"/>
  <c r="M96" i="3"/>
  <c r="M96" i="7" s="1"/>
  <c r="Q96" i="7" s="1"/>
  <c r="M97" i="3"/>
  <c r="M97" i="7" s="1"/>
  <c r="Q97" i="7" s="1"/>
  <c r="M98" i="3"/>
  <c r="M98" i="7" s="1"/>
  <c r="Q98" i="7" s="1"/>
  <c r="M99" i="3"/>
  <c r="M99" i="7" s="1"/>
  <c r="Q99" i="7" s="1"/>
  <c r="M100" i="3"/>
  <c r="M100" i="7" s="1"/>
  <c r="Q100" i="7" s="1"/>
  <c r="M101" i="3"/>
  <c r="M101" i="7" s="1"/>
  <c r="Q101" i="7" s="1"/>
  <c r="M102" i="3"/>
  <c r="M102" i="7" s="1"/>
  <c r="Q102" i="7" s="1"/>
  <c r="M103" i="3"/>
  <c r="M103" i="7" s="1"/>
  <c r="Q103" i="7" s="1"/>
  <c r="M104" i="3"/>
  <c r="M104" i="7" s="1"/>
  <c r="Q104" i="7" s="1"/>
  <c r="M105" i="3"/>
  <c r="M105" i="7" s="1"/>
  <c r="Q105" i="7" s="1"/>
  <c r="M106" i="3"/>
  <c r="M106" i="7" s="1"/>
  <c r="Q106" i="7" s="1"/>
  <c r="M107" i="3"/>
  <c r="M107" i="7" s="1"/>
  <c r="Q107" i="7" s="1"/>
  <c r="M108" i="3"/>
  <c r="M108" i="7" s="1"/>
  <c r="Q108" i="7" s="1"/>
  <c r="M109" i="3"/>
  <c r="M109" i="7" s="1"/>
  <c r="Q109" i="7" s="1"/>
  <c r="M110" i="3"/>
  <c r="M110" i="7" s="1"/>
  <c r="Q110" i="7" s="1"/>
  <c r="M111" i="3"/>
  <c r="M111" i="7" s="1"/>
  <c r="Q111" i="7" s="1"/>
  <c r="Q117" i="7"/>
  <c r="M112" i="3"/>
  <c r="M112" i="7" s="1"/>
  <c r="Q112" i="7" s="1"/>
  <c r="M113" i="3"/>
  <c r="M113" i="7" s="1"/>
  <c r="Q113" i="7" s="1"/>
  <c r="M114" i="3"/>
  <c r="M114" i="7" s="1"/>
  <c r="Q114" i="7" s="1"/>
  <c r="M115" i="3"/>
  <c r="M115" i="7" s="1"/>
  <c r="Q115" i="7" s="1"/>
  <c r="M116" i="3"/>
  <c r="M116" i="7" s="1"/>
  <c r="Q116" i="7" s="1"/>
  <c r="M117" i="3"/>
  <c r="M117" i="7" s="1"/>
  <c r="M118" i="3"/>
  <c r="M118" i="7" s="1"/>
  <c r="Q118" i="7" s="1"/>
  <c r="M119" i="3"/>
  <c r="M119" i="7" s="1"/>
  <c r="Q119" i="7" s="1"/>
  <c r="M120" i="3"/>
  <c r="M120" i="7" s="1"/>
  <c r="Q120" i="7" s="1"/>
  <c r="M121" i="3"/>
  <c r="M121" i="7" s="1"/>
  <c r="Q121" i="7" s="1"/>
  <c r="M122" i="3"/>
  <c r="M122" i="7" s="1"/>
  <c r="Q122" i="7" s="1"/>
  <c r="M123" i="3"/>
  <c r="M123" i="7" s="1"/>
  <c r="Q123" i="7" s="1"/>
  <c r="M124" i="3"/>
  <c r="M124" i="7" s="1"/>
  <c r="Q124" i="7" s="1"/>
  <c r="M125" i="3"/>
  <c r="M125" i="7" s="1"/>
  <c r="M126" i="3"/>
  <c r="M126" i="7" s="1"/>
  <c r="M127" i="3"/>
  <c r="M127" i="7" s="1"/>
  <c r="M128" i="3"/>
  <c r="M128" i="7" s="1"/>
  <c r="M129" i="3"/>
  <c r="M129" i="7" s="1"/>
  <c r="M130" i="3"/>
  <c r="M130" i="7" s="1"/>
  <c r="M131" i="3"/>
  <c r="M131" i="7" s="1"/>
  <c r="M132" i="3"/>
  <c r="M132" i="7" s="1"/>
  <c r="M133" i="3"/>
  <c r="M133" i="7" s="1"/>
  <c r="M134" i="3"/>
  <c r="M134" i="7" s="1"/>
  <c r="M135" i="3"/>
  <c r="M135" i="7" s="1"/>
  <c r="M136" i="3"/>
  <c r="M136" i="7" s="1"/>
  <c r="M137" i="3"/>
  <c r="M137" i="7" s="1"/>
  <c r="M138" i="3"/>
  <c r="M138" i="7" s="1"/>
  <c r="M139" i="3"/>
  <c r="M139" i="7" s="1"/>
  <c r="M140" i="3"/>
  <c r="M140" i="7" s="1"/>
  <c r="M141" i="3"/>
  <c r="M141" i="7" s="1"/>
  <c r="M142" i="3"/>
  <c r="M142" i="7" s="1"/>
  <c r="M143" i="3"/>
  <c r="M143" i="7" s="1"/>
  <c r="M144" i="3"/>
  <c r="M144" i="7" s="1"/>
  <c r="M145" i="3"/>
  <c r="M145" i="7" s="1"/>
  <c r="M146" i="3"/>
  <c r="M146" i="7" s="1"/>
  <c r="M147" i="3"/>
  <c r="M147" i="7" s="1"/>
  <c r="M148" i="3"/>
  <c r="M148" i="7" s="1"/>
  <c r="M149" i="3"/>
  <c r="M149" i="7" s="1"/>
  <c r="M150" i="3"/>
  <c r="M150" i="7" s="1"/>
  <c r="M151" i="3"/>
  <c r="M151" i="7" s="1"/>
  <c r="M152" i="3"/>
  <c r="M152" i="7" s="1"/>
  <c r="M153" i="3"/>
  <c r="M153" i="7" s="1"/>
  <c r="M154" i="3"/>
  <c r="M154" i="7" s="1"/>
  <c r="M155" i="3"/>
  <c r="M155" i="7" s="1"/>
  <c r="M156" i="3"/>
  <c r="M156" i="7" s="1"/>
  <c r="M157" i="3"/>
  <c r="M157" i="7" s="1"/>
  <c r="M158" i="3"/>
  <c r="M158" i="7" s="1"/>
  <c r="M159" i="3"/>
  <c r="M159" i="7" s="1"/>
  <c r="M160" i="3"/>
  <c r="M160" i="7" s="1"/>
  <c r="M161" i="3"/>
  <c r="M161" i="7" s="1"/>
  <c r="M162" i="3"/>
  <c r="M162" i="7" s="1"/>
  <c r="Q128" i="7"/>
  <c r="Q125" i="7"/>
  <c r="Q126" i="7"/>
  <c r="Q127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O159" i="3"/>
  <c r="O159" i="7" s="1"/>
  <c r="Q159" i="7" s="1"/>
  <c r="O160" i="3"/>
  <c r="O160" i="7" s="1"/>
  <c r="Q160" i="7" s="1"/>
  <c r="Q161" i="7"/>
  <c r="Q162" i="7"/>
  <c r="N163" i="3"/>
  <c r="N163" i="7" s="1"/>
  <c r="N164" i="3"/>
  <c r="N164" i="7" s="1"/>
  <c r="N165" i="3"/>
  <c r="N165" i="7" s="1"/>
  <c r="N166" i="3"/>
  <c r="N166" i="7" s="1"/>
  <c r="N167" i="3"/>
  <c r="N167" i="7" s="1"/>
  <c r="N168" i="3"/>
  <c r="N168" i="7" s="1"/>
  <c r="N169" i="3"/>
  <c r="N169" i="7" s="1"/>
  <c r="N170" i="3"/>
  <c r="N170" i="7" s="1"/>
  <c r="N171" i="3"/>
  <c r="N171" i="7" s="1"/>
  <c r="N172" i="3"/>
  <c r="N172" i="7" s="1"/>
  <c r="N173" i="3"/>
  <c r="N173" i="7" s="1"/>
  <c r="N174" i="3"/>
  <c r="N174" i="7" s="1"/>
  <c r="N175" i="3"/>
  <c r="N175" i="7" s="1"/>
  <c r="N176" i="3"/>
  <c r="N176" i="7" s="1"/>
  <c r="N177" i="3"/>
  <c r="N177" i="7" s="1"/>
  <c r="N178" i="3"/>
  <c r="N178" i="7" s="1"/>
  <c r="N179" i="3"/>
  <c r="N179" i="7" s="1"/>
  <c r="N180" i="3"/>
  <c r="N180" i="7" s="1"/>
  <c r="N181" i="3"/>
  <c r="N181" i="7" s="1"/>
  <c r="N182" i="3"/>
  <c r="N182" i="7" s="1"/>
  <c r="N183" i="3"/>
  <c r="N183" i="7" s="1"/>
  <c r="N184" i="3"/>
  <c r="N184" i="7" s="1"/>
  <c r="N185" i="3"/>
  <c r="N185" i="7" s="1"/>
  <c r="N186" i="3"/>
  <c r="N186" i="7" s="1"/>
  <c r="N187" i="3"/>
  <c r="N187" i="7" s="1"/>
  <c r="M163" i="3"/>
  <c r="M163" i="7" s="1"/>
  <c r="Q163" i="7" s="1"/>
  <c r="M164" i="3"/>
  <c r="M164" i="7" s="1"/>
  <c r="Q164" i="7" s="1"/>
  <c r="M165" i="3"/>
  <c r="M165" i="7" s="1"/>
  <c r="Q165" i="7" s="1"/>
  <c r="M166" i="3"/>
  <c r="M166" i="7" s="1"/>
  <c r="Q166" i="7" s="1"/>
  <c r="M167" i="3"/>
  <c r="M167" i="7" s="1"/>
  <c r="Q167" i="7" s="1"/>
  <c r="M168" i="3"/>
  <c r="M168" i="7" s="1"/>
  <c r="Q168" i="7" s="1"/>
  <c r="M169" i="3"/>
  <c r="M169" i="7" s="1"/>
  <c r="Q169" i="7" s="1"/>
  <c r="M170" i="3"/>
  <c r="M170" i="7" s="1"/>
  <c r="Q170" i="7" s="1"/>
  <c r="M171" i="3"/>
  <c r="M171" i="7" s="1"/>
  <c r="Q171" i="7" s="1"/>
  <c r="M172" i="3"/>
  <c r="M172" i="7" s="1"/>
  <c r="Q172" i="7" s="1"/>
  <c r="M173" i="3"/>
  <c r="M173" i="7" s="1"/>
  <c r="Q173" i="7" s="1"/>
  <c r="M174" i="3"/>
  <c r="M174" i="7" s="1"/>
  <c r="Q174" i="7" s="1"/>
  <c r="M175" i="3"/>
  <c r="M175" i="7" s="1"/>
  <c r="Q175" i="7" s="1"/>
  <c r="M176" i="3"/>
  <c r="M176" i="7" s="1"/>
  <c r="Q176" i="7" s="1"/>
  <c r="M177" i="3"/>
  <c r="M177" i="7" s="1"/>
  <c r="Q177" i="7" s="1"/>
  <c r="M178" i="3"/>
  <c r="M178" i="7" s="1"/>
  <c r="Q178" i="7" s="1"/>
  <c r="M179" i="3"/>
  <c r="M179" i="7" s="1"/>
  <c r="Q179" i="7" s="1"/>
  <c r="M180" i="3"/>
  <c r="M180" i="7" s="1"/>
  <c r="Q180" i="7" s="1"/>
  <c r="M181" i="3"/>
  <c r="M181" i="7" s="1"/>
  <c r="Q181" i="7" s="1"/>
  <c r="M182" i="3"/>
  <c r="M182" i="7" s="1"/>
  <c r="Q182" i="7" s="1"/>
  <c r="M183" i="3"/>
  <c r="M183" i="7" s="1"/>
  <c r="Q183" i="7" s="1"/>
  <c r="M184" i="3"/>
  <c r="M184" i="7" s="1"/>
  <c r="Q184" i="7" s="1"/>
  <c r="M185" i="3"/>
  <c r="M185" i="7" s="1"/>
  <c r="Q185" i="7" s="1"/>
  <c r="M186" i="3"/>
  <c r="M186" i="7" s="1"/>
  <c r="Q186" i="7" s="1"/>
  <c r="M187" i="3"/>
  <c r="M187" i="7" s="1"/>
  <c r="Q187" i="7" s="1"/>
  <c r="Q261" i="7"/>
  <c r="O263" i="3"/>
  <c r="O263" i="7" s="1"/>
  <c r="Q264" i="7"/>
  <c r="O264" i="3"/>
  <c r="O264" i="7" s="1"/>
  <c r="O265" i="3"/>
  <c r="O265" i="7" s="1"/>
  <c r="D268" i="7"/>
  <c r="N268" i="3"/>
  <c r="N268" i="7" s="1"/>
  <c r="M268" i="3"/>
  <c r="M268" i="7" s="1"/>
  <c r="O268" i="3"/>
  <c r="O268" i="7" s="1"/>
  <c r="M188" i="3"/>
  <c r="M188" i="7" s="1"/>
  <c r="Q188" i="7" s="1"/>
  <c r="M189" i="3"/>
  <c r="M189" i="7" s="1"/>
  <c r="Q189" i="7" s="1"/>
  <c r="M190" i="3"/>
  <c r="M190" i="7" s="1"/>
  <c r="Q190" i="7" s="1"/>
  <c r="M191" i="3"/>
  <c r="M191" i="7" s="1"/>
  <c r="Q191" i="7" s="1"/>
  <c r="M192" i="3"/>
  <c r="M192" i="7" s="1"/>
  <c r="Q192" i="7" s="1"/>
  <c r="M193" i="3"/>
  <c r="M193" i="7" s="1"/>
  <c r="Q193" i="7" s="1"/>
  <c r="M194" i="3"/>
  <c r="M194" i="7" s="1"/>
  <c r="Q194" i="7" s="1"/>
  <c r="M195" i="3"/>
  <c r="M195" i="7" s="1"/>
  <c r="Q195" i="7" s="1"/>
  <c r="M196" i="3"/>
  <c r="M196" i="7" s="1"/>
  <c r="Q196" i="7" s="1"/>
  <c r="M197" i="3"/>
  <c r="M197" i="7" s="1"/>
  <c r="Q197" i="7" s="1"/>
  <c r="M198" i="3"/>
  <c r="M198" i="7" s="1"/>
  <c r="Q198" i="7" s="1"/>
  <c r="M199" i="3"/>
  <c r="M199" i="7" s="1"/>
  <c r="Q199" i="7" s="1"/>
  <c r="M200" i="3"/>
  <c r="M200" i="7" s="1"/>
  <c r="Q200" i="7" s="1"/>
  <c r="M201" i="3"/>
  <c r="M201" i="7" s="1"/>
  <c r="Q201" i="7" s="1"/>
  <c r="M202" i="3"/>
  <c r="M202" i="7" s="1"/>
  <c r="Q202" i="7" s="1"/>
  <c r="M203" i="3"/>
  <c r="M203" i="7" s="1"/>
  <c r="Q203" i="7" s="1"/>
  <c r="M204" i="3"/>
  <c r="M204" i="7" s="1"/>
  <c r="Q204" i="7" s="1"/>
  <c r="M205" i="3"/>
  <c r="M205" i="7" s="1"/>
  <c r="Q205" i="7" s="1"/>
  <c r="M206" i="3"/>
  <c r="M206" i="7" s="1"/>
  <c r="Q206" i="7" s="1"/>
  <c r="M207" i="3"/>
  <c r="M207" i="7" s="1"/>
  <c r="Q207" i="7" s="1"/>
  <c r="M208" i="3"/>
  <c r="M208" i="7" s="1"/>
  <c r="Q208" i="7" s="1"/>
  <c r="M209" i="3"/>
  <c r="M209" i="7" s="1"/>
  <c r="Q209" i="7" s="1"/>
  <c r="M210" i="3"/>
  <c r="M210" i="7" s="1"/>
  <c r="Q210" i="7" s="1"/>
  <c r="M211" i="3"/>
  <c r="M211" i="7" s="1"/>
  <c r="Q211" i="7" s="1"/>
  <c r="M212" i="3"/>
  <c r="M212" i="7" s="1"/>
  <c r="Q212" i="7" s="1"/>
  <c r="M213" i="3"/>
  <c r="M213" i="7" s="1"/>
  <c r="Q213" i="7" s="1"/>
  <c r="M214" i="3"/>
  <c r="M214" i="7" s="1"/>
  <c r="Q214" i="7" s="1"/>
  <c r="M215" i="3"/>
  <c r="M215" i="7" s="1"/>
  <c r="Q215" i="7" s="1"/>
  <c r="M216" i="3"/>
  <c r="M216" i="7" s="1"/>
  <c r="Q216" i="7" s="1"/>
  <c r="M217" i="3"/>
  <c r="M217" i="7" s="1"/>
  <c r="Q217" i="7" s="1"/>
  <c r="M218" i="3"/>
  <c r="M218" i="7" s="1"/>
  <c r="Q218" i="7" s="1"/>
  <c r="M219" i="3"/>
  <c r="M219" i="7" s="1"/>
  <c r="Q219" i="7" s="1"/>
  <c r="M220" i="3"/>
  <c r="M220" i="7" s="1"/>
  <c r="Q220" i="7" s="1"/>
  <c r="M221" i="3"/>
  <c r="M221" i="7" s="1"/>
  <c r="Q221" i="7" s="1"/>
  <c r="M222" i="3"/>
  <c r="M222" i="7" s="1"/>
  <c r="Q222" i="7" s="1"/>
  <c r="M223" i="3"/>
  <c r="M223" i="7" s="1"/>
  <c r="Q223" i="7" s="1"/>
  <c r="M224" i="3"/>
  <c r="M224" i="7" s="1"/>
  <c r="Q224" i="7" s="1"/>
  <c r="M225" i="3"/>
  <c r="M225" i="7" s="1"/>
  <c r="Q225" i="7" s="1"/>
  <c r="M226" i="3"/>
  <c r="M226" i="7" s="1"/>
  <c r="Q226" i="7" s="1"/>
  <c r="M227" i="3"/>
  <c r="M227" i="7" s="1"/>
  <c r="Q227" i="7" s="1"/>
  <c r="M228" i="3"/>
  <c r="M228" i="7" s="1"/>
  <c r="Q228" i="7" s="1"/>
  <c r="M229" i="3"/>
  <c r="M229" i="7" s="1"/>
  <c r="Q229" i="7" s="1"/>
  <c r="M230" i="3"/>
  <c r="M230" i="7" s="1"/>
  <c r="Q230" i="7" s="1"/>
  <c r="M231" i="3"/>
  <c r="M231" i="7" s="1"/>
  <c r="Q231" i="7" s="1"/>
  <c r="M232" i="3"/>
  <c r="M232" i="7" s="1"/>
  <c r="Q232" i="7" s="1"/>
  <c r="M233" i="3"/>
  <c r="M233" i="7" s="1"/>
  <c r="Q233" i="7" s="1"/>
  <c r="M234" i="3"/>
  <c r="M234" i="7" s="1"/>
  <c r="Q234" i="7" s="1"/>
  <c r="M235" i="3"/>
  <c r="M235" i="7" s="1"/>
  <c r="Q235" i="7" s="1"/>
  <c r="M236" i="3"/>
  <c r="M236" i="7" s="1"/>
  <c r="Q236" i="7" s="1"/>
  <c r="M237" i="3"/>
  <c r="M237" i="7" s="1"/>
  <c r="Q237" i="7" s="1"/>
  <c r="M238" i="3"/>
  <c r="M238" i="7" s="1"/>
  <c r="Q238" i="7" s="1"/>
  <c r="M239" i="3"/>
  <c r="M239" i="7" s="1"/>
  <c r="Q239" i="7" s="1"/>
  <c r="M240" i="3"/>
  <c r="M240" i="7" s="1"/>
  <c r="Q240" i="7" s="1"/>
  <c r="M241" i="3"/>
  <c r="M241" i="7" s="1"/>
  <c r="Q241" i="7" s="1"/>
  <c r="M242" i="3"/>
  <c r="M242" i="7" s="1"/>
  <c r="Q242" i="7" s="1"/>
  <c r="M243" i="3"/>
  <c r="M243" i="7" s="1"/>
  <c r="Q243" i="7" s="1"/>
  <c r="M244" i="3"/>
  <c r="M244" i="7" s="1"/>
  <c r="Q244" i="7" s="1"/>
  <c r="M245" i="3"/>
  <c r="M245" i="7" s="1"/>
  <c r="Q245" i="7" s="1"/>
  <c r="M246" i="3"/>
  <c r="M246" i="7" s="1"/>
  <c r="Q246" i="7" s="1"/>
  <c r="M247" i="3"/>
  <c r="M247" i="7" s="1"/>
  <c r="Q247" i="7" s="1"/>
  <c r="M248" i="3"/>
  <c r="M248" i="7" s="1"/>
  <c r="Q248" i="7" s="1"/>
  <c r="M249" i="3"/>
  <c r="M249" i="7" s="1"/>
  <c r="Q249" i="7" s="1"/>
  <c r="M250" i="3"/>
  <c r="M250" i="7" s="1"/>
  <c r="Q250" i="7" s="1"/>
  <c r="M251" i="3"/>
  <c r="M251" i="7" s="1"/>
  <c r="Q251" i="7" s="1"/>
  <c r="M252" i="3"/>
  <c r="M252" i="7" s="1"/>
  <c r="Q252" i="7" s="1"/>
  <c r="M253" i="3"/>
  <c r="M253" i="7" s="1"/>
  <c r="Q253" i="7" s="1"/>
  <c r="M254" i="3"/>
  <c r="M254" i="7" s="1"/>
  <c r="Q254" i="7" s="1"/>
  <c r="M255" i="3"/>
  <c r="M255" i="7" s="1"/>
  <c r="Q255" i="7" s="1"/>
  <c r="M256" i="3"/>
  <c r="M256" i="7" s="1"/>
  <c r="Q256" i="7" s="1"/>
  <c r="M257" i="3"/>
  <c r="M257" i="7" s="1"/>
  <c r="Q257" i="7" s="1"/>
  <c r="M258" i="3"/>
  <c r="M258" i="7" s="1"/>
  <c r="M259" i="3"/>
  <c r="M259" i="7" s="1"/>
  <c r="Q259" i="7" s="1"/>
  <c r="M260" i="3"/>
  <c r="M260" i="7" s="1"/>
  <c r="Q260" i="7" s="1"/>
  <c r="M261" i="3"/>
  <c r="M261" i="7" s="1"/>
  <c r="M262" i="3"/>
  <c r="M262" i="7" s="1"/>
  <c r="Q262" i="7" s="1"/>
  <c r="M263" i="3"/>
  <c r="M263" i="7" s="1"/>
  <c r="Q263" i="7" s="1"/>
  <c r="M264" i="3"/>
  <c r="M264" i="7" s="1"/>
  <c r="M265" i="3"/>
  <c r="M265" i="7" s="1"/>
  <c r="Q265" i="7" s="1"/>
  <c r="D266" i="7"/>
  <c r="N266" i="3"/>
  <c r="N266" i="7" s="1"/>
  <c r="M266" i="3"/>
  <c r="M266" i="7" s="1"/>
  <c r="Q266" i="7" s="1"/>
  <c r="Q258" i="7"/>
  <c r="D267" i="7"/>
  <c r="N267" i="3"/>
  <c r="N267" i="7" s="1"/>
  <c r="M267" i="3"/>
  <c r="M267" i="7" s="1"/>
  <c r="Q267" i="7" s="1"/>
  <c r="M269" i="3"/>
  <c r="M269" i="7" s="1"/>
  <c r="M270" i="3"/>
  <c r="M270" i="7" s="1"/>
  <c r="M271" i="3"/>
  <c r="M271" i="7" s="1"/>
  <c r="M272" i="3"/>
  <c r="M272" i="7" s="1"/>
  <c r="M273" i="3"/>
  <c r="M273" i="7" s="1"/>
  <c r="M274" i="3"/>
  <c r="M274" i="7" s="1"/>
  <c r="M275" i="3"/>
  <c r="M275" i="7" s="1"/>
  <c r="M276" i="3"/>
  <c r="M276" i="7" s="1"/>
  <c r="M277" i="3"/>
  <c r="M277" i="7" s="1"/>
  <c r="M278" i="3"/>
  <c r="M278" i="7" s="1"/>
  <c r="M279" i="3"/>
  <c r="M279" i="7" s="1"/>
  <c r="M280" i="3"/>
  <c r="M280" i="7" s="1"/>
  <c r="M281" i="3"/>
  <c r="M281" i="7" s="1"/>
  <c r="M282" i="3"/>
  <c r="M282" i="7" s="1"/>
  <c r="M283" i="3"/>
  <c r="M283" i="7" s="1"/>
  <c r="M284" i="3"/>
  <c r="M284" i="7" s="1"/>
  <c r="M285" i="3"/>
  <c r="M285" i="7" s="1"/>
  <c r="M286" i="3"/>
  <c r="M286" i="7" s="1"/>
  <c r="M287" i="3"/>
  <c r="M287" i="7" s="1"/>
  <c r="M288" i="3"/>
  <c r="M288" i="7" s="1"/>
  <c r="M289" i="3"/>
  <c r="M289" i="7" s="1"/>
  <c r="M290" i="3"/>
  <c r="M290" i="7" s="1"/>
  <c r="M291" i="3"/>
  <c r="M291" i="7" s="1"/>
  <c r="M292" i="3"/>
  <c r="M292" i="7" s="1"/>
  <c r="M293" i="3"/>
  <c r="M293" i="7" s="1"/>
  <c r="D294" i="7"/>
  <c r="O294" i="3"/>
  <c r="O294" i="7" s="1"/>
  <c r="Q294" i="7" s="1"/>
  <c r="M294" i="3"/>
  <c r="M294" i="7" s="1"/>
  <c r="Q268" i="7"/>
  <c r="N269" i="3"/>
  <c r="N269" i="7" s="1"/>
  <c r="Q269" i="7" s="1"/>
  <c r="Q270" i="7"/>
  <c r="N270" i="3"/>
  <c r="N270" i="7" s="1"/>
  <c r="N271" i="3"/>
  <c r="N271" i="7" s="1"/>
  <c r="N272" i="3"/>
  <c r="N272" i="7" s="1"/>
  <c r="Q272" i="7" s="1"/>
  <c r="Q273" i="7"/>
  <c r="N273" i="3"/>
  <c r="N273" i="7" s="1"/>
  <c r="N274" i="3"/>
  <c r="N274" i="7" s="1"/>
  <c r="N275" i="3"/>
  <c r="N275" i="7" s="1"/>
  <c r="Q275" i="7" s="1"/>
  <c r="Q276" i="7"/>
  <c r="N276" i="3"/>
  <c r="N276" i="7" s="1"/>
  <c r="N277" i="3"/>
  <c r="N277" i="7" s="1"/>
  <c r="N278" i="3"/>
  <c r="N278" i="7" s="1"/>
  <c r="Q278" i="7" s="1"/>
  <c r="Q279" i="7"/>
  <c r="N279" i="3"/>
  <c r="N279" i="7" s="1"/>
  <c r="N280" i="3"/>
  <c r="N280" i="7" s="1"/>
  <c r="N281" i="3"/>
  <c r="N281" i="7" s="1"/>
  <c r="Q281" i="7" s="1"/>
  <c r="Q282" i="7"/>
  <c r="N282" i="3"/>
  <c r="N282" i="7" s="1"/>
  <c r="N283" i="3"/>
  <c r="N283" i="7" s="1"/>
  <c r="N284" i="3"/>
  <c r="N284" i="7" s="1"/>
  <c r="Q284" i="7" s="1"/>
  <c r="Q285" i="7"/>
  <c r="N285" i="3"/>
  <c r="N285" i="7" s="1"/>
  <c r="N286" i="3"/>
  <c r="N286" i="7" s="1"/>
  <c r="N287" i="3"/>
  <c r="N287" i="7" s="1"/>
  <c r="Q287" i="7" s="1"/>
  <c r="Q288" i="7"/>
  <c r="N288" i="3"/>
  <c r="N288" i="7" s="1"/>
  <c r="N289" i="3"/>
  <c r="N289" i="7" s="1"/>
  <c r="N290" i="3"/>
  <c r="N290" i="7" s="1"/>
  <c r="Q290" i="7" s="1"/>
  <c r="Q291" i="7"/>
  <c r="N291" i="3"/>
  <c r="N291" i="7" s="1"/>
  <c r="N292" i="3"/>
  <c r="N292" i="7" s="1"/>
  <c r="N293" i="3"/>
  <c r="N293" i="7" s="1"/>
  <c r="Q293" i="7" s="1"/>
  <c r="N294" i="3"/>
  <c r="N294" i="7" s="1"/>
  <c r="D295" i="7"/>
  <c r="O295" i="3"/>
  <c r="O295" i="7" s="1"/>
  <c r="N295" i="3"/>
  <c r="N295" i="7" s="1"/>
  <c r="M295" i="3"/>
  <c r="M295" i="7" s="1"/>
  <c r="Q295" i="7" s="1"/>
  <c r="D296" i="7"/>
  <c r="O296" i="3"/>
  <c r="O296" i="7" s="1"/>
  <c r="N296" i="3"/>
  <c r="N296" i="7" s="1"/>
  <c r="M296" i="3"/>
  <c r="M296" i="7" s="1"/>
  <c r="Q296" i="7" s="1"/>
  <c r="D297" i="7"/>
  <c r="O297" i="3"/>
  <c r="O297" i="7" s="1"/>
  <c r="N297" i="3"/>
  <c r="N297" i="7" s="1"/>
  <c r="M297" i="3"/>
  <c r="M297" i="7" s="1"/>
  <c r="D298" i="7"/>
  <c r="O298" i="3"/>
  <c r="O298" i="7" s="1"/>
  <c r="N298" i="3"/>
  <c r="N298" i="7" s="1"/>
  <c r="M298" i="3"/>
  <c r="M298" i="7" s="1"/>
  <c r="Q298" i="7" s="1"/>
  <c r="D299" i="7"/>
  <c r="O299" i="3"/>
  <c r="O299" i="7" s="1"/>
  <c r="N299" i="3"/>
  <c r="N299" i="7" s="1"/>
  <c r="M299" i="3"/>
  <c r="M299" i="7" s="1"/>
  <c r="Q299" i="7" s="1"/>
  <c r="D300" i="7"/>
  <c r="O300" i="3"/>
  <c r="O300" i="7" s="1"/>
  <c r="N300" i="3"/>
  <c r="N300" i="7" s="1"/>
  <c r="M300" i="3"/>
  <c r="M300" i="7" s="1"/>
  <c r="D301" i="7"/>
  <c r="O301" i="3"/>
  <c r="O301" i="7" s="1"/>
  <c r="N301" i="3"/>
  <c r="N301" i="7" s="1"/>
  <c r="M301" i="3"/>
  <c r="M301" i="7" s="1"/>
  <c r="Q301" i="7" s="1"/>
  <c r="D302" i="7"/>
  <c r="O302" i="3"/>
  <c r="O302" i="7" s="1"/>
  <c r="N302" i="3"/>
  <c r="N302" i="7" s="1"/>
  <c r="M302" i="3"/>
  <c r="M302" i="7" s="1"/>
  <c r="Q302" i="7" s="1"/>
  <c r="D303" i="7"/>
  <c r="O303" i="3"/>
  <c r="O303" i="7" s="1"/>
  <c r="N303" i="3"/>
  <c r="N303" i="7" s="1"/>
  <c r="M303" i="3"/>
  <c r="M303" i="7" s="1"/>
  <c r="Q303" i="7" s="1"/>
  <c r="D304" i="7"/>
  <c r="O304" i="3"/>
  <c r="O304" i="7" s="1"/>
  <c r="N304" i="3"/>
  <c r="N304" i="7" s="1"/>
  <c r="M304" i="3"/>
  <c r="M304" i="7" s="1"/>
  <c r="Q304" i="7" s="1"/>
  <c r="D305" i="7"/>
  <c r="O305" i="3"/>
  <c r="O305" i="7" s="1"/>
  <c r="N305" i="3"/>
  <c r="N305" i="7" s="1"/>
  <c r="M305" i="3"/>
  <c r="M305" i="7" s="1"/>
  <c r="Q305" i="7" s="1"/>
  <c r="D306" i="7"/>
  <c r="O306" i="3"/>
  <c r="O306" i="7" s="1"/>
  <c r="N306" i="3"/>
  <c r="N306" i="7" s="1"/>
  <c r="M306" i="3"/>
  <c r="M306" i="7" s="1"/>
  <c r="Q306" i="7" s="1"/>
  <c r="D307" i="7"/>
  <c r="O307" i="3"/>
  <c r="O307" i="7" s="1"/>
  <c r="N307" i="3"/>
  <c r="N307" i="7" s="1"/>
  <c r="M307" i="3"/>
  <c r="M307" i="7" s="1"/>
  <c r="Q307" i="7" s="1"/>
  <c r="D308" i="7"/>
  <c r="O308" i="3"/>
  <c r="O308" i="7" s="1"/>
  <c r="N308" i="3"/>
  <c r="N308" i="7" s="1"/>
  <c r="M308" i="3"/>
  <c r="M308" i="7" s="1"/>
  <c r="Q308" i="7" s="1"/>
  <c r="D309" i="7"/>
  <c r="O309" i="3"/>
  <c r="O309" i="7" s="1"/>
  <c r="N309" i="3"/>
  <c r="N309" i="7" s="1"/>
  <c r="M309" i="3"/>
  <c r="M309" i="7" s="1"/>
  <c r="Q309" i="7" s="1"/>
  <c r="D310" i="7"/>
  <c r="O310" i="3"/>
  <c r="O310" i="7" s="1"/>
  <c r="N310" i="3"/>
  <c r="N310" i="7" s="1"/>
  <c r="M310" i="3"/>
  <c r="M310" i="7" s="1"/>
  <c r="Q310" i="7" s="1"/>
  <c r="D311" i="7"/>
  <c r="O311" i="3"/>
  <c r="O311" i="7" s="1"/>
  <c r="N311" i="3"/>
  <c r="N311" i="7" s="1"/>
  <c r="M311" i="3"/>
  <c r="M311" i="7" s="1"/>
  <c r="Q311" i="7"/>
  <c r="D312" i="7"/>
  <c r="O312" i="3"/>
  <c r="O312" i="7" s="1"/>
  <c r="N312" i="3"/>
  <c r="N312" i="7" s="1"/>
  <c r="M312" i="3"/>
  <c r="M312" i="7" s="1"/>
  <c r="Q312" i="7"/>
  <c r="D313" i="7"/>
  <c r="O313" i="3"/>
  <c r="O313" i="7" s="1"/>
  <c r="N313" i="3"/>
  <c r="N313" i="7" s="1"/>
  <c r="M313" i="3"/>
  <c r="M313" i="7" s="1"/>
  <c r="Q313" i="7"/>
  <c r="D314" i="7"/>
  <c r="O314" i="3"/>
  <c r="O314" i="7" s="1"/>
  <c r="N314" i="3"/>
  <c r="N314" i="7" s="1"/>
  <c r="M314" i="3"/>
  <c r="M314" i="7" s="1"/>
  <c r="Q314" i="7"/>
  <c r="D315" i="7"/>
  <c r="O315" i="3"/>
  <c r="O315" i="7" s="1"/>
  <c r="N315" i="3"/>
  <c r="N315" i="7" s="1"/>
  <c r="M315" i="3"/>
  <c r="M315" i="7" s="1"/>
  <c r="Q315" i="7"/>
  <c r="D316" i="7"/>
  <c r="O316" i="3"/>
  <c r="O316" i="7" s="1"/>
  <c r="N316" i="3"/>
  <c r="N316" i="7" s="1"/>
  <c r="M316" i="3"/>
  <c r="M316" i="7" s="1"/>
  <c r="Q316" i="7"/>
  <c r="D317" i="7"/>
  <c r="O317" i="3"/>
  <c r="O317" i="7" s="1"/>
  <c r="N317" i="3"/>
  <c r="N317" i="7" s="1"/>
  <c r="M317" i="3"/>
  <c r="M317" i="7" s="1"/>
  <c r="Q317" i="7"/>
  <c r="D318" i="7"/>
  <c r="O318" i="3"/>
  <c r="O318" i="7" s="1"/>
  <c r="N318" i="3"/>
  <c r="N318" i="7" s="1"/>
  <c r="M318" i="3"/>
  <c r="M318" i="7" s="1"/>
  <c r="Q318" i="7"/>
  <c r="D319" i="7"/>
  <c r="O319" i="3"/>
  <c r="O319" i="7" s="1"/>
  <c r="N319" i="3"/>
  <c r="N319" i="7" s="1"/>
  <c r="M319" i="3"/>
  <c r="M319" i="7" s="1"/>
  <c r="Q319" i="7"/>
  <c r="D320" i="7"/>
  <c r="O320" i="3"/>
  <c r="O320" i="7" s="1"/>
  <c r="N320" i="3"/>
  <c r="N320" i="7" s="1"/>
  <c r="M320" i="3"/>
  <c r="M320" i="7" s="1"/>
  <c r="Q320" i="7"/>
  <c r="D321" i="7"/>
  <c r="O321" i="3"/>
  <c r="O321" i="7" s="1"/>
  <c r="N321" i="3"/>
  <c r="N321" i="7" s="1"/>
  <c r="M321" i="3"/>
  <c r="M321" i="7" s="1"/>
  <c r="Q321" i="7"/>
  <c r="S321" i="7" l="1"/>
  <c r="R321" i="7"/>
  <c r="S308" i="7"/>
  <c r="R308" i="7"/>
  <c r="S305" i="7"/>
  <c r="R305" i="7"/>
  <c r="S302" i="7"/>
  <c r="R302" i="7"/>
  <c r="S299" i="7"/>
  <c r="R299" i="7"/>
  <c r="S296" i="7"/>
  <c r="R296" i="7"/>
  <c r="S318" i="7"/>
  <c r="R318" i="7"/>
  <c r="S315" i="7"/>
  <c r="R315" i="7"/>
  <c r="S312" i="7"/>
  <c r="R312" i="7"/>
  <c r="S319" i="7"/>
  <c r="R319" i="7"/>
  <c r="S316" i="7"/>
  <c r="R316" i="7"/>
  <c r="S313" i="7"/>
  <c r="R313" i="7"/>
  <c r="S310" i="7"/>
  <c r="R310" i="7"/>
  <c r="S307" i="7"/>
  <c r="R307" i="7"/>
  <c r="S304" i="7"/>
  <c r="R304" i="7"/>
  <c r="S301" i="7"/>
  <c r="R301" i="7"/>
  <c r="S298" i="7"/>
  <c r="R298" i="7"/>
  <c r="S295" i="7"/>
  <c r="R295" i="7"/>
  <c r="S320" i="7"/>
  <c r="R320" i="7"/>
  <c r="S317" i="7"/>
  <c r="R317" i="7"/>
  <c r="S314" i="7"/>
  <c r="R314" i="7"/>
  <c r="S311" i="7"/>
  <c r="R311" i="7"/>
  <c r="S309" i="7"/>
  <c r="R309" i="7"/>
  <c r="S306" i="7"/>
  <c r="R306" i="7"/>
  <c r="S303" i="7"/>
  <c r="R303" i="7"/>
  <c r="S294" i="7"/>
  <c r="R294" i="7"/>
  <c r="S293" i="7"/>
  <c r="R293" i="7"/>
  <c r="S288" i="7"/>
  <c r="R288" i="7"/>
  <c r="S284" i="7"/>
  <c r="R284" i="7"/>
  <c r="S279" i="7"/>
  <c r="R279" i="7"/>
  <c r="S275" i="7"/>
  <c r="R275" i="7"/>
  <c r="S270" i="7"/>
  <c r="R270" i="7"/>
  <c r="S267" i="7"/>
  <c r="R267" i="7"/>
  <c r="S263" i="7"/>
  <c r="R263" i="7"/>
  <c r="S260" i="7"/>
  <c r="R260" i="7"/>
  <c r="S257" i="7"/>
  <c r="R257" i="7"/>
  <c r="S254" i="7"/>
  <c r="R254" i="7"/>
  <c r="S251" i="7"/>
  <c r="R251" i="7"/>
  <c r="S248" i="7"/>
  <c r="R248" i="7"/>
  <c r="S245" i="7"/>
  <c r="R245" i="7"/>
  <c r="S242" i="7"/>
  <c r="R242" i="7"/>
  <c r="S239" i="7"/>
  <c r="R239" i="7"/>
  <c r="S236" i="7"/>
  <c r="R236" i="7"/>
  <c r="S233" i="7"/>
  <c r="R233" i="7"/>
  <c r="S230" i="7"/>
  <c r="R230" i="7"/>
  <c r="S227" i="7"/>
  <c r="R227" i="7"/>
  <c r="S224" i="7"/>
  <c r="R224" i="7"/>
  <c r="S221" i="7"/>
  <c r="R221" i="7"/>
  <c r="S218" i="7"/>
  <c r="R218" i="7"/>
  <c r="S215" i="7"/>
  <c r="R215" i="7"/>
  <c r="S212" i="7"/>
  <c r="R212" i="7"/>
  <c r="S209" i="7"/>
  <c r="R209" i="7"/>
  <c r="S206" i="7"/>
  <c r="R206" i="7"/>
  <c r="S203" i="7"/>
  <c r="R203" i="7"/>
  <c r="S200" i="7"/>
  <c r="R200" i="7"/>
  <c r="S197" i="7"/>
  <c r="R197" i="7"/>
  <c r="S194" i="7"/>
  <c r="R194" i="7"/>
  <c r="S191" i="7"/>
  <c r="R191" i="7"/>
  <c r="S188" i="7"/>
  <c r="R188" i="7"/>
  <c r="S261" i="7"/>
  <c r="R261" i="7"/>
  <c r="S186" i="7"/>
  <c r="R186" i="7"/>
  <c r="S183" i="7"/>
  <c r="R183" i="7"/>
  <c r="S180" i="7"/>
  <c r="R180" i="7"/>
  <c r="S177" i="7"/>
  <c r="R177" i="7"/>
  <c r="S174" i="7"/>
  <c r="R174" i="7"/>
  <c r="S171" i="7"/>
  <c r="R171" i="7"/>
  <c r="S168" i="7"/>
  <c r="R168" i="7"/>
  <c r="S165" i="7"/>
  <c r="R165" i="7"/>
  <c r="S160" i="7"/>
  <c r="R160" i="7"/>
  <c r="S157" i="7"/>
  <c r="R157" i="7"/>
  <c r="S154" i="7"/>
  <c r="R154" i="7"/>
  <c r="S151" i="7"/>
  <c r="R151" i="7"/>
  <c r="S148" i="7"/>
  <c r="R148" i="7"/>
  <c r="S145" i="7"/>
  <c r="R145" i="7"/>
  <c r="S142" i="7"/>
  <c r="R142" i="7"/>
  <c r="S139" i="7"/>
  <c r="R139" i="7"/>
  <c r="S136" i="7"/>
  <c r="R136" i="7"/>
  <c r="S133" i="7"/>
  <c r="R133" i="7"/>
  <c r="S130" i="7"/>
  <c r="R130" i="7"/>
  <c r="S127" i="7"/>
  <c r="R127" i="7"/>
  <c r="S124" i="7"/>
  <c r="R124" i="7"/>
  <c r="S121" i="7"/>
  <c r="R121" i="7"/>
  <c r="S118" i="7"/>
  <c r="R118" i="7"/>
  <c r="S115" i="7"/>
  <c r="R115" i="7"/>
  <c r="S112" i="7"/>
  <c r="R112" i="7"/>
  <c r="S110" i="7"/>
  <c r="R110" i="7"/>
  <c r="S107" i="7"/>
  <c r="R107" i="7"/>
  <c r="S104" i="7"/>
  <c r="R104" i="7"/>
  <c r="S101" i="7"/>
  <c r="R101" i="7"/>
  <c r="S98" i="7"/>
  <c r="R98" i="7"/>
  <c r="S95" i="7"/>
  <c r="R95" i="7"/>
  <c r="S92" i="7"/>
  <c r="R92" i="7"/>
  <c r="S89" i="7"/>
  <c r="R89" i="7"/>
  <c r="S86" i="7"/>
  <c r="R86" i="7"/>
  <c r="S83" i="7"/>
  <c r="R83" i="7"/>
  <c r="S80" i="7"/>
  <c r="R80" i="7"/>
  <c r="S77" i="7"/>
  <c r="R77" i="7"/>
  <c r="S74" i="7"/>
  <c r="R74" i="7"/>
  <c r="S71" i="7"/>
  <c r="R71" i="7"/>
  <c r="S68" i="7"/>
  <c r="R68" i="7"/>
  <c r="S65" i="7"/>
  <c r="R65" i="7"/>
  <c r="S62" i="7"/>
  <c r="R62" i="7"/>
  <c r="S59" i="7"/>
  <c r="R59" i="7"/>
  <c r="S56" i="7"/>
  <c r="R56" i="7"/>
  <c r="S53" i="7"/>
  <c r="R53" i="7"/>
  <c r="S48" i="7"/>
  <c r="R48" i="7"/>
  <c r="S45" i="7"/>
  <c r="R45" i="7"/>
  <c r="S42" i="7"/>
  <c r="R42" i="7"/>
  <c r="S39" i="7"/>
  <c r="R39" i="7"/>
  <c r="S36" i="7"/>
  <c r="R36" i="7"/>
  <c r="S33" i="7"/>
  <c r="R33" i="7"/>
  <c r="S30" i="7"/>
  <c r="R30" i="7"/>
  <c r="S27" i="7"/>
  <c r="R27" i="7"/>
  <c r="S24" i="7"/>
  <c r="R24" i="7"/>
  <c r="S21" i="7"/>
  <c r="R21" i="7"/>
  <c r="S18" i="7"/>
  <c r="R18" i="7"/>
  <c r="S15" i="7"/>
  <c r="R15" i="7"/>
  <c r="S12" i="7"/>
  <c r="R12" i="7"/>
  <c r="S9" i="7"/>
  <c r="R9" i="7"/>
  <c r="S6" i="7"/>
  <c r="R6" i="7"/>
  <c r="S3" i="7"/>
  <c r="R3" i="7"/>
  <c r="S20" i="7"/>
  <c r="R20" i="7"/>
  <c r="S291" i="7"/>
  <c r="R291" i="7"/>
  <c r="S287" i="7"/>
  <c r="R287" i="7"/>
  <c r="S282" i="7"/>
  <c r="R282" i="7"/>
  <c r="S278" i="7"/>
  <c r="R278" i="7"/>
  <c r="S273" i="7"/>
  <c r="R273" i="7"/>
  <c r="S269" i="7"/>
  <c r="R269" i="7"/>
  <c r="Q292" i="7"/>
  <c r="Q289" i="7"/>
  <c r="Q286" i="7"/>
  <c r="Q283" i="7"/>
  <c r="Q280" i="7"/>
  <c r="Q277" i="7"/>
  <c r="Q274" i="7"/>
  <c r="Q271" i="7"/>
  <c r="S266" i="7"/>
  <c r="R266" i="7"/>
  <c r="S265" i="7"/>
  <c r="R265" i="7"/>
  <c r="S262" i="7"/>
  <c r="R262" i="7"/>
  <c r="S259" i="7"/>
  <c r="R259" i="7"/>
  <c r="S256" i="7"/>
  <c r="R256" i="7"/>
  <c r="S253" i="7"/>
  <c r="R253" i="7"/>
  <c r="S250" i="7"/>
  <c r="R250" i="7"/>
  <c r="S247" i="7"/>
  <c r="R247" i="7"/>
  <c r="S244" i="7"/>
  <c r="R244" i="7"/>
  <c r="S241" i="7"/>
  <c r="R241" i="7"/>
  <c r="S238" i="7"/>
  <c r="R238" i="7"/>
  <c r="S235" i="7"/>
  <c r="R235" i="7"/>
  <c r="S232" i="7"/>
  <c r="R232" i="7"/>
  <c r="S229" i="7"/>
  <c r="R229" i="7"/>
  <c r="S226" i="7"/>
  <c r="R226" i="7"/>
  <c r="S223" i="7"/>
  <c r="R223" i="7"/>
  <c r="S220" i="7"/>
  <c r="R220" i="7"/>
  <c r="S217" i="7"/>
  <c r="R217" i="7"/>
  <c r="S214" i="7"/>
  <c r="R214" i="7"/>
  <c r="S211" i="7"/>
  <c r="R211" i="7"/>
  <c r="S208" i="7"/>
  <c r="R208" i="7"/>
  <c r="S205" i="7"/>
  <c r="R205" i="7"/>
  <c r="S202" i="7"/>
  <c r="R202" i="7"/>
  <c r="S199" i="7"/>
  <c r="R199" i="7"/>
  <c r="S196" i="7"/>
  <c r="R196" i="7"/>
  <c r="S193" i="7"/>
  <c r="R193" i="7"/>
  <c r="S190" i="7"/>
  <c r="R190" i="7"/>
  <c r="S264" i="7"/>
  <c r="R264" i="7"/>
  <c r="S185" i="7"/>
  <c r="R185" i="7"/>
  <c r="S182" i="7"/>
  <c r="R182" i="7"/>
  <c r="S179" i="7"/>
  <c r="R179" i="7"/>
  <c r="S176" i="7"/>
  <c r="R176" i="7"/>
  <c r="S173" i="7"/>
  <c r="R173" i="7"/>
  <c r="S170" i="7"/>
  <c r="R170" i="7"/>
  <c r="S167" i="7"/>
  <c r="R167" i="7"/>
  <c r="S164" i="7"/>
  <c r="R164" i="7"/>
  <c r="S162" i="7"/>
  <c r="R162" i="7"/>
  <c r="S159" i="7"/>
  <c r="R159" i="7"/>
  <c r="S156" i="7"/>
  <c r="R156" i="7"/>
  <c r="S153" i="7"/>
  <c r="R153" i="7"/>
  <c r="S150" i="7"/>
  <c r="R150" i="7"/>
  <c r="S147" i="7"/>
  <c r="R147" i="7"/>
  <c r="S144" i="7"/>
  <c r="R144" i="7"/>
  <c r="S141" i="7"/>
  <c r="R141" i="7"/>
  <c r="S138" i="7"/>
  <c r="R138" i="7"/>
  <c r="S135" i="7"/>
  <c r="R135" i="7"/>
  <c r="S132" i="7"/>
  <c r="R132" i="7"/>
  <c r="S129" i="7"/>
  <c r="R129" i="7"/>
  <c r="S126" i="7"/>
  <c r="R126" i="7"/>
  <c r="S123" i="7"/>
  <c r="R123" i="7"/>
  <c r="S120" i="7"/>
  <c r="R120" i="7"/>
  <c r="S114" i="7"/>
  <c r="R114" i="7"/>
  <c r="S117" i="7"/>
  <c r="R117" i="7"/>
  <c r="S109" i="7"/>
  <c r="R109" i="7"/>
  <c r="S106" i="7"/>
  <c r="R106" i="7"/>
  <c r="S103" i="7"/>
  <c r="R103" i="7"/>
  <c r="S100" i="7"/>
  <c r="R100" i="7"/>
  <c r="S97" i="7"/>
  <c r="R97" i="7"/>
  <c r="S94" i="7"/>
  <c r="R94" i="7"/>
  <c r="S91" i="7"/>
  <c r="R91" i="7"/>
  <c r="S88" i="7"/>
  <c r="R88" i="7"/>
  <c r="S85" i="7"/>
  <c r="R85" i="7"/>
  <c r="S82" i="7"/>
  <c r="R82" i="7"/>
  <c r="S79" i="7"/>
  <c r="R79" i="7"/>
  <c r="S76" i="7"/>
  <c r="R76" i="7"/>
  <c r="S73" i="7"/>
  <c r="R73" i="7"/>
  <c r="S70" i="7"/>
  <c r="R70" i="7"/>
  <c r="S67" i="7"/>
  <c r="R67" i="7"/>
  <c r="S64" i="7"/>
  <c r="R64" i="7"/>
  <c r="S61" i="7"/>
  <c r="R61" i="7"/>
  <c r="S58" i="7"/>
  <c r="R58" i="7"/>
  <c r="S55" i="7"/>
  <c r="R55" i="7"/>
  <c r="S52" i="7"/>
  <c r="R52" i="7"/>
  <c r="S50" i="7"/>
  <c r="R50" i="7"/>
  <c r="S47" i="7"/>
  <c r="R47" i="7"/>
  <c r="S44" i="7"/>
  <c r="R44" i="7"/>
  <c r="S41" i="7"/>
  <c r="R41" i="7"/>
  <c r="S38" i="7"/>
  <c r="R38" i="7"/>
  <c r="S35" i="7"/>
  <c r="R35" i="7"/>
  <c r="S32" i="7"/>
  <c r="R32" i="7"/>
  <c r="S29" i="7"/>
  <c r="R29" i="7"/>
  <c r="S26" i="7"/>
  <c r="R26" i="7"/>
  <c r="S14" i="7"/>
  <c r="R14" i="7"/>
  <c r="S11" i="7"/>
  <c r="R11" i="7"/>
  <c r="S8" i="7"/>
  <c r="R8" i="7"/>
  <c r="S5" i="7"/>
  <c r="R5" i="7"/>
  <c r="S2" i="7"/>
  <c r="R2" i="7"/>
  <c r="S17" i="7"/>
  <c r="R17" i="7"/>
  <c r="Q300" i="7"/>
  <c r="Q297" i="7"/>
  <c r="S290" i="7"/>
  <c r="R290" i="7"/>
  <c r="S285" i="7"/>
  <c r="R285" i="7"/>
  <c r="S281" i="7"/>
  <c r="R281" i="7"/>
  <c r="S276" i="7"/>
  <c r="R276" i="7"/>
  <c r="S272" i="7"/>
  <c r="R272" i="7"/>
  <c r="S268" i="7"/>
  <c r="R268" i="7"/>
  <c r="S255" i="7"/>
  <c r="R255" i="7"/>
  <c r="S252" i="7"/>
  <c r="R252" i="7"/>
  <c r="S249" i="7"/>
  <c r="R249" i="7"/>
  <c r="S246" i="7"/>
  <c r="R246" i="7"/>
  <c r="S243" i="7"/>
  <c r="R243" i="7"/>
  <c r="S240" i="7"/>
  <c r="R240" i="7"/>
  <c r="S237" i="7"/>
  <c r="R237" i="7"/>
  <c r="S234" i="7"/>
  <c r="R234" i="7"/>
  <c r="S231" i="7"/>
  <c r="R231" i="7"/>
  <c r="S228" i="7"/>
  <c r="R228" i="7"/>
  <c r="S225" i="7"/>
  <c r="R225" i="7"/>
  <c r="S222" i="7"/>
  <c r="R222" i="7"/>
  <c r="S219" i="7"/>
  <c r="R219" i="7"/>
  <c r="S216" i="7"/>
  <c r="R216" i="7"/>
  <c r="S213" i="7"/>
  <c r="R213" i="7"/>
  <c r="S210" i="7"/>
  <c r="R210" i="7"/>
  <c r="S207" i="7"/>
  <c r="R207" i="7"/>
  <c r="S204" i="7"/>
  <c r="R204" i="7"/>
  <c r="S201" i="7"/>
  <c r="R201" i="7"/>
  <c r="S198" i="7"/>
  <c r="R198" i="7"/>
  <c r="S195" i="7"/>
  <c r="R195" i="7"/>
  <c r="S192" i="7"/>
  <c r="R192" i="7"/>
  <c r="S189" i="7"/>
  <c r="R189" i="7"/>
  <c r="S187" i="7"/>
  <c r="R187" i="7"/>
  <c r="S184" i="7"/>
  <c r="R184" i="7"/>
  <c r="S181" i="7"/>
  <c r="R181" i="7"/>
  <c r="S178" i="7"/>
  <c r="R178" i="7"/>
  <c r="S175" i="7"/>
  <c r="R175" i="7"/>
  <c r="S172" i="7"/>
  <c r="R172" i="7"/>
  <c r="S169" i="7"/>
  <c r="R169" i="7"/>
  <c r="S166" i="7"/>
  <c r="R166" i="7"/>
  <c r="S163" i="7"/>
  <c r="R163" i="7"/>
  <c r="S161" i="7"/>
  <c r="R161" i="7"/>
  <c r="S158" i="7"/>
  <c r="R158" i="7"/>
  <c r="S155" i="7"/>
  <c r="R155" i="7"/>
  <c r="S152" i="7"/>
  <c r="R152" i="7"/>
  <c r="S149" i="7"/>
  <c r="R149" i="7"/>
  <c r="S146" i="7"/>
  <c r="R146" i="7"/>
  <c r="S143" i="7"/>
  <c r="R143" i="7"/>
  <c r="S140" i="7"/>
  <c r="R140" i="7"/>
  <c r="S137" i="7"/>
  <c r="R137" i="7"/>
  <c r="S134" i="7"/>
  <c r="R134" i="7"/>
  <c r="S131" i="7"/>
  <c r="R131" i="7"/>
  <c r="S125" i="7"/>
  <c r="R125" i="7"/>
  <c r="S122" i="7"/>
  <c r="R122" i="7"/>
  <c r="S119" i="7"/>
  <c r="R119" i="7"/>
  <c r="S116" i="7"/>
  <c r="R116" i="7"/>
  <c r="S113" i="7"/>
  <c r="R113" i="7"/>
  <c r="S111" i="7"/>
  <c r="R111" i="7"/>
  <c r="S108" i="7"/>
  <c r="R108" i="7"/>
  <c r="S105" i="7"/>
  <c r="R105" i="7"/>
  <c r="S102" i="7"/>
  <c r="R102" i="7"/>
  <c r="S99" i="7"/>
  <c r="R99" i="7"/>
  <c r="S96" i="7"/>
  <c r="R96" i="7"/>
  <c r="S93" i="7"/>
  <c r="R93" i="7"/>
  <c r="S90" i="7"/>
  <c r="R90" i="7"/>
  <c r="S87" i="7"/>
  <c r="R87" i="7"/>
  <c r="S84" i="7"/>
  <c r="R84" i="7"/>
  <c r="S81" i="7"/>
  <c r="R81" i="7"/>
  <c r="S78" i="7"/>
  <c r="R78" i="7"/>
  <c r="S75" i="7"/>
  <c r="R75" i="7"/>
  <c r="S72" i="7"/>
  <c r="R72" i="7"/>
  <c r="S69" i="7"/>
  <c r="R69" i="7"/>
  <c r="S66" i="7"/>
  <c r="R66" i="7"/>
  <c r="S63" i="7"/>
  <c r="R63" i="7"/>
  <c r="S60" i="7"/>
  <c r="R60" i="7"/>
  <c r="S57" i="7"/>
  <c r="R57" i="7"/>
  <c r="S54" i="7"/>
  <c r="R54" i="7"/>
  <c r="S51" i="7"/>
  <c r="R51" i="7"/>
  <c r="S49" i="7"/>
  <c r="R49" i="7"/>
  <c r="S46" i="7"/>
  <c r="R46" i="7"/>
  <c r="S43" i="7"/>
  <c r="R43" i="7"/>
  <c r="S40" i="7"/>
  <c r="R40" i="7"/>
  <c r="S37" i="7"/>
  <c r="R37" i="7"/>
  <c r="S34" i="7"/>
  <c r="R34" i="7"/>
  <c r="S31" i="7"/>
  <c r="R31" i="7"/>
  <c r="S28" i="7"/>
  <c r="R28" i="7"/>
  <c r="S25" i="7"/>
  <c r="R25" i="7"/>
  <c r="S22" i="7"/>
  <c r="R22" i="7"/>
  <c r="S19" i="7"/>
  <c r="R19" i="7"/>
  <c r="S16" i="7"/>
  <c r="R16" i="7"/>
  <c r="S13" i="7"/>
  <c r="R13" i="7"/>
  <c r="S10" i="7"/>
  <c r="R10" i="7"/>
  <c r="S7" i="7"/>
  <c r="R7" i="7"/>
  <c r="S4" i="7"/>
  <c r="R4" i="7"/>
  <c r="S23" i="7"/>
  <c r="R23" i="7"/>
  <c r="S128" i="7"/>
  <c r="R128" i="7"/>
  <c r="S258" i="7"/>
  <c r="R258" i="7"/>
  <c r="S300" i="7" l="1"/>
  <c r="R300" i="7"/>
  <c r="S271" i="7"/>
  <c r="R271" i="7"/>
  <c r="S280" i="7"/>
  <c r="R280" i="7"/>
  <c r="S289" i="7"/>
  <c r="R289" i="7"/>
  <c r="S274" i="7"/>
  <c r="R274" i="7"/>
  <c r="S283" i="7"/>
  <c r="R283" i="7"/>
  <c r="S292" i="7"/>
  <c r="R292" i="7"/>
  <c r="S297" i="7"/>
  <c r="R297" i="7"/>
  <c r="S277" i="7"/>
  <c r="R277" i="7"/>
  <c r="S286" i="7"/>
  <c r="R286" i="7"/>
</calcChain>
</file>

<file path=xl/sharedStrings.xml><?xml version="1.0" encoding="utf-8"?>
<sst xmlns="http://schemas.openxmlformats.org/spreadsheetml/2006/main" count="2166" uniqueCount="196">
  <si>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</si>
  <si>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</si>
  <si>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</si>
  <si>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</si>
  <si>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</si>
  <si>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</si>
  <si>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</si>
  <si>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</si>
  <si>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</si>
  <si>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</si>
  <si>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</si>
  <si>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</si>
  <si>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</si>
  <si>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</si>
  <si>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</si>
  <si>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</si>
  <si>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</si>
  <si>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</si>
  <si>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</si>
  <si>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</si>
  <si>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</si>
  <si>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</si>
  <si>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</si>
  <si>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</si>
  <si>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</si>
  <si>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</si>
  <si>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</si>
  <si>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</si>
  <si>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</si>
  <si>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</si>
  <si>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</si>
  <si>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</si>
  <si>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</si>
  <si>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</si>
  <si>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</si>
  <si>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</si>
  <si>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</si>
  <si>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</si>
  <si>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</si>
  <si>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</si>
  <si>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</si>
  <si>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</si>
  <si>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</si>
  <si>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</si>
  <si>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</si>
  <si>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</si>
  <si>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</si>
  <si>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</si>
  <si>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</si>
  <si>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</si>
  <si>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</si>
  <si>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</si>
  <si>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</si>
  <si>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</si>
  <si>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</si>
  <si>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</si>
  <si>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</si>
  <si>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</si>
  <si>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</si>
  <si>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</si>
  <si>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</si>
  <si>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</si>
  <si>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</si>
  <si>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</si>
  <si>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</si>
  <si>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</si>
  <si>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</si>
  <si>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</si>
  <si>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</si>
  <si>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</si>
  <si>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</si>
  <si>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</si>
  <si>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</si>
  <si>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</si>
  <si>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</si>
  <si>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</si>
  <si>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</si>
  <si>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</si>
  <si>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</si>
  <si>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</si>
  <si>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</si>
  <si>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</si>
  <si>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</si>
  <si>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</si>
  <si>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</si>
  <si>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</si>
  <si>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</si>
  <si>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</si>
  <si>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</si>
  <si>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</si>
  <si>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</si>
  <si>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</si>
  <si>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</si>
  <si>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</si>
  <si>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</si>
  <si>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</si>
  <si>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</si>
  <si>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</si>
  <si>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</si>
  <si>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</si>
  <si>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</si>
  <si>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</si>
  <si>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month_date</t>
  </si>
  <si>
    <t>month_year</t>
  </si>
  <si>
    <t>sales_per_footfall</t>
  </si>
  <si>
    <t>profit_margin</t>
  </si>
  <si>
    <t>data_check</t>
  </si>
  <si>
    <t>store_type_airport</t>
  </si>
  <si>
    <t>store_type_high_street</t>
  </si>
  <si>
    <t>store_type_mall</t>
  </si>
  <si>
    <t>Simple Reg Marketing</t>
  </si>
  <si>
    <t>Metric</t>
  </si>
  <si>
    <t>Value</t>
  </si>
  <si>
    <t>Model</t>
  </si>
  <si>
    <t>Simple Regression - Marketing Spend</t>
  </si>
  <si>
    <t>Dependent Variable</t>
  </si>
  <si>
    <t>Independent Variables</t>
  </si>
  <si>
    <t>Observations</t>
  </si>
  <si>
    <t>R-squared</t>
  </si>
  <si>
    <t>Adjusted R-squared</t>
  </si>
  <si>
    <t>F-statistic p-value</t>
  </si>
  <si>
    <t>Term</t>
  </si>
  <si>
    <t>Coefficient</t>
  </si>
  <si>
    <t>Std Error</t>
  </si>
  <si>
    <t>t Stat</t>
  </si>
  <si>
    <t>P-value</t>
  </si>
  <si>
    <t>const</t>
  </si>
  <si>
    <t>Excel formula checks</t>
  </si>
  <si>
    <t>Intercept</t>
  </si>
  <si>
    <t>Equation</t>
  </si>
  <si>
    <t>monthly_sales = Intercept + Coefficient × marketing_spend</t>
  </si>
  <si>
    <t>Simple Reg Footfall</t>
  </si>
  <si>
    <t>Simple Regression - Footfall</t>
  </si>
  <si>
    <t>monthly_sales = Intercept + Coefficient × footfall</t>
  </si>
  <si>
    <t>Multiple Reg Output</t>
  </si>
  <si>
    <t>Multiple Regression - Business Driver Model</t>
  </si>
  <si>
    <t>marketing_spend, footfall, avg_discount_pct, staff_count, inventory_availability_pct, holiday_flag, customer_rating, store_type_Airport, store_type_High Street, store_type_Mall</t>
  </si>
  <si>
    <t>store_type_Airport</t>
  </si>
  <si>
    <t>store_type_High Street</t>
  </si>
  <si>
    <t>store_type_Mall</t>
  </si>
  <si>
    <t>Equation note</t>
  </si>
  <si>
    <t>Residential is excluded as reference category to avoid dummy variable trap.</t>
  </si>
  <si>
    <t>predicted_sales</t>
  </si>
  <si>
    <t>residual</t>
  </si>
  <si>
    <t>abs_residual</t>
  </si>
  <si>
    <t>residual_type</t>
  </si>
  <si>
    <t>Model Name</t>
  </si>
  <si>
    <t>Significant Variables</t>
  </si>
  <si>
    <t>Business Usefulness</t>
  </si>
  <si>
    <t>Final Decision</t>
  </si>
  <si>
    <t>Useful single-factor check</t>
  </si>
  <si>
    <t>Not final</t>
  </si>
  <si>
    <t>marketing_spend, footfall, staff_count, inventory_availability_pct, customer_rating, store_type_Airport, store_type_High Street, store_type_Mall</t>
  </si>
  <si>
    <t>Final model - best business view</t>
  </si>
  <si>
    <t>Final model</t>
  </si>
  <si>
    <t>Sheet Name</t>
  </si>
  <si>
    <t xml:space="preserve"> Cell / Column </t>
  </si>
  <si>
    <t>Cleaned_Prepared_Data</t>
  </si>
  <si>
    <t xml:space="preserve">Dummy_Variables </t>
  </si>
  <si>
    <t>Simple_Reg_Marketing</t>
  </si>
  <si>
    <t xml:space="preserve">Simple_Reg_Footfall </t>
  </si>
  <si>
    <t xml:space="preserve">Predictions_Residuals </t>
  </si>
  <si>
    <t xml:space="preserve"> O2 down </t>
  </si>
  <si>
    <t xml:space="preserve"> P2 down </t>
  </si>
  <si>
    <t xml:space="preserve"> Q2 down </t>
  </si>
  <si>
    <t xml:space="preserve"> S2 down </t>
  </si>
  <si>
    <t xml:space="preserve"> R2 down </t>
  </si>
  <si>
    <t xml:space="preserve"> O2 down</t>
  </si>
  <si>
    <t xml:space="preserve"> M2 down </t>
  </si>
  <si>
    <t xml:space="preserve"> N2 down </t>
  </si>
  <si>
    <t xml:space="preserve">B23 </t>
  </si>
  <si>
    <t>B24</t>
  </si>
  <si>
    <t>B25</t>
  </si>
  <si>
    <t>B23</t>
  </si>
  <si>
    <t>P2 down</t>
  </si>
  <si>
    <t xml:space="preserve"> Q2 down</t>
  </si>
  <si>
    <t xml:space="preserve"> | =B2 | Creates month date</t>
  </si>
  <si>
    <t xml:space="preserve"> Formula Used /Purpose</t>
  </si>
  <si>
    <t xml:space="preserve"> | =TEXT(O2,"yyyy-mm") | Creates month-year field</t>
  </si>
  <si>
    <t xml:space="preserve"> | =IFERROR(M2/F2,"") | Calculates sales per footfall</t>
  </si>
  <si>
    <t xml:space="preserve"> | =IFERROR(N2/M2,"") | Calculates profit margin</t>
  </si>
  <si>
    <t xml:space="preserve">Put | before formula usedjust to avoid giving error in this sheet </t>
  </si>
  <si>
    <t xml:space="preserve"> | =E2-P2 | Calculates residual</t>
  </si>
  <si>
    <t xml:space="preserve"> | =ABS(Q2) | Calculates absolute residual</t>
  </si>
  <si>
    <t xml:space="preserve"> residual classification formula | Labels positive/negative residual</t>
  </si>
  <si>
    <t xml:space="preserve"> coefficient-based prediction formula | Calculates predicted sales</t>
  </si>
  <si>
    <t xml:space="preserve"> | =RSQ(Cleaned_Prepared_Data!M:M,Cleaned_Prepared_Data!F:F) | Footfall regression R-squared</t>
  </si>
  <si>
    <t xml:space="preserve"> | =SLOPE(Cleaned_Prepared_Data!M:M,Cleaned_Prepared_Data!F:F) | Footfall regression coefficient</t>
  </si>
  <si>
    <t xml:space="preserve"> | =INTERCEPT(Cleaned_Prepared_Data!M:M,Cleaned_Prepared_Data!F:F) | Footfall regression intercept</t>
  </si>
  <si>
    <t xml:space="preserve"> | =SLOPE(Cleaned_Prepared_Data!M:M,Cleaned_Prepared_Data!E:E) | Marketing regression coefficient</t>
  </si>
  <si>
    <t>| =RSQ(Cleaned_Prepared_Data!M:M,Cleaned_Prepared_Data!E:E) | Marketing regression R-squared</t>
  </si>
  <si>
    <t xml:space="preserve"> | =IF($D2="Mall",1,0) | Mall dummy variable</t>
  </si>
  <si>
    <t xml:space="preserve"> | =INTERCEPT(Cleaned_Prepared_Data!M:M,Cleaned_Prepared_Data!E:E) | Marketing regression intercept</t>
  </si>
  <si>
    <t xml:space="preserve"> | =IF(OR(M2="",E2="",F2="",I2=""),"Check","OK") | Checks missing key fields</t>
  </si>
  <si>
    <t>| =IF($D2="Airport",1,0) | Airport dummy variable</t>
  </si>
  <si>
    <t xml:space="preserve"> | =IF($D2="High Street",1,0) | High Street dummy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</si>
</sst>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1" customWidth="1"/>
    <col min="3" max="4" width="14" customWidth="1"/>
    <col min="5" max="5" width="17" customWidth="1"/>
    <col min="6" max="6" width="14" customWidth="1"/>
    <col min="7" max="7" width="18" customWidth="1"/>
    <col min="8" max="8" width="14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 x14ac:dyDescent="0.35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 x14ac:dyDescent="0.35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 x14ac:dyDescent="0.35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 x14ac:dyDescent="0.35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 x14ac:dyDescent="0.35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 x14ac:dyDescent="0.35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 x14ac:dyDescent="0.35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 x14ac:dyDescent="0.35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 x14ac:dyDescent="0.35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 x14ac:dyDescent="0.35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 x14ac:dyDescent="0.35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 x14ac:dyDescent="0.35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 x14ac:dyDescent="0.35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 x14ac:dyDescent="0.35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 x14ac:dyDescent="0.35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 x14ac:dyDescent="0.35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 x14ac:dyDescent="0.35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 x14ac:dyDescent="0.35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 x14ac:dyDescent="0.35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 x14ac:dyDescent="0.35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 x14ac:dyDescent="0.35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 x14ac:dyDescent="0.35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 x14ac:dyDescent="0.35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 x14ac:dyDescent="0.35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 x14ac:dyDescent="0.35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 x14ac:dyDescent="0.35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 x14ac:dyDescent="0.35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 x14ac:dyDescent="0.35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 x14ac:dyDescent="0.35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 x14ac:dyDescent="0.35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 x14ac:dyDescent="0.35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 x14ac:dyDescent="0.35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 x14ac:dyDescent="0.35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 x14ac:dyDescent="0.35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 x14ac:dyDescent="0.35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 x14ac:dyDescent="0.35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 x14ac:dyDescent="0.35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 x14ac:dyDescent="0.35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 x14ac:dyDescent="0.35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 x14ac:dyDescent="0.35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 x14ac:dyDescent="0.35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 x14ac:dyDescent="0.35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 x14ac:dyDescent="0.35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 x14ac:dyDescent="0.35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 x14ac:dyDescent="0.35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 x14ac:dyDescent="0.35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 x14ac:dyDescent="0.35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 x14ac:dyDescent="0.35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 x14ac:dyDescent="0.35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 x14ac:dyDescent="0.35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 x14ac:dyDescent="0.35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 x14ac:dyDescent="0.35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 x14ac:dyDescent="0.35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 x14ac:dyDescent="0.35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 x14ac:dyDescent="0.35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 x14ac:dyDescent="0.35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 x14ac:dyDescent="0.35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 x14ac:dyDescent="0.35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 x14ac:dyDescent="0.35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 x14ac:dyDescent="0.35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 x14ac:dyDescent="0.35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 x14ac:dyDescent="0.35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 x14ac:dyDescent="0.35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 x14ac:dyDescent="0.35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 x14ac:dyDescent="0.35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 x14ac:dyDescent="0.35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 x14ac:dyDescent="0.35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 x14ac:dyDescent="0.35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 x14ac:dyDescent="0.35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 x14ac:dyDescent="0.35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 x14ac:dyDescent="0.35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 x14ac:dyDescent="0.35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 x14ac:dyDescent="0.35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 x14ac:dyDescent="0.35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 x14ac:dyDescent="0.35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 x14ac:dyDescent="0.35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 x14ac:dyDescent="0.35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 x14ac:dyDescent="0.35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 x14ac:dyDescent="0.35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 x14ac:dyDescent="0.35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 x14ac:dyDescent="0.35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 x14ac:dyDescent="0.35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 x14ac:dyDescent="0.35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 x14ac:dyDescent="0.35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 x14ac:dyDescent="0.35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 x14ac:dyDescent="0.35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 x14ac:dyDescent="0.35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 x14ac:dyDescent="0.35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 x14ac:dyDescent="0.35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 x14ac:dyDescent="0.35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 x14ac:dyDescent="0.35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 x14ac:dyDescent="0.35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 x14ac:dyDescent="0.35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 x14ac:dyDescent="0.35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 x14ac:dyDescent="0.35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 x14ac:dyDescent="0.35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 x14ac:dyDescent="0.35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 x14ac:dyDescent="0.35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 x14ac:dyDescent="0.35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 x14ac:dyDescent="0.35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 x14ac:dyDescent="0.35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 x14ac:dyDescent="0.35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 x14ac:dyDescent="0.35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 x14ac:dyDescent="0.35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 x14ac:dyDescent="0.35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 x14ac:dyDescent="0.35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 x14ac:dyDescent="0.35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 x14ac:dyDescent="0.35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 x14ac:dyDescent="0.35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 x14ac:dyDescent="0.35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 x14ac:dyDescent="0.35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 x14ac:dyDescent="0.35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 x14ac:dyDescent="0.35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 x14ac:dyDescent="0.35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 x14ac:dyDescent="0.35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 x14ac:dyDescent="0.35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 x14ac:dyDescent="0.35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 x14ac:dyDescent="0.35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 x14ac:dyDescent="0.35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 x14ac:dyDescent="0.35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 x14ac:dyDescent="0.35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 x14ac:dyDescent="0.35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 x14ac:dyDescent="0.35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 x14ac:dyDescent="0.35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 x14ac:dyDescent="0.35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 x14ac:dyDescent="0.35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 x14ac:dyDescent="0.35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 x14ac:dyDescent="0.35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 x14ac:dyDescent="0.35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 x14ac:dyDescent="0.35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 x14ac:dyDescent="0.35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 x14ac:dyDescent="0.35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 x14ac:dyDescent="0.35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 x14ac:dyDescent="0.35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 x14ac:dyDescent="0.35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 x14ac:dyDescent="0.35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 x14ac:dyDescent="0.35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 x14ac:dyDescent="0.35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 x14ac:dyDescent="0.35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 x14ac:dyDescent="0.35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 x14ac:dyDescent="0.35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 x14ac:dyDescent="0.35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 x14ac:dyDescent="0.35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 x14ac:dyDescent="0.35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 x14ac:dyDescent="0.35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 x14ac:dyDescent="0.35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 x14ac:dyDescent="0.35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 x14ac:dyDescent="0.35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 x14ac:dyDescent="0.35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 x14ac:dyDescent="0.35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 x14ac:dyDescent="0.35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 x14ac:dyDescent="0.35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 x14ac:dyDescent="0.35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 x14ac:dyDescent="0.35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 x14ac:dyDescent="0.35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 x14ac:dyDescent="0.35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 x14ac:dyDescent="0.35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 x14ac:dyDescent="0.35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 x14ac:dyDescent="0.35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 x14ac:dyDescent="0.35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 x14ac:dyDescent="0.35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 x14ac:dyDescent="0.35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 x14ac:dyDescent="0.35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 x14ac:dyDescent="0.35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 x14ac:dyDescent="0.35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 x14ac:dyDescent="0.35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 x14ac:dyDescent="0.35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 x14ac:dyDescent="0.35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 x14ac:dyDescent="0.35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 x14ac:dyDescent="0.35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 x14ac:dyDescent="0.35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 x14ac:dyDescent="0.35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 x14ac:dyDescent="0.35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 x14ac:dyDescent="0.35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 x14ac:dyDescent="0.35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 x14ac:dyDescent="0.35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 x14ac:dyDescent="0.35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 x14ac:dyDescent="0.35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 x14ac:dyDescent="0.35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 x14ac:dyDescent="0.35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 x14ac:dyDescent="0.35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 x14ac:dyDescent="0.35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 x14ac:dyDescent="0.35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 x14ac:dyDescent="0.35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 x14ac:dyDescent="0.35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 x14ac:dyDescent="0.35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 x14ac:dyDescent="0.35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 x14ac:dyDescent="0.35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 x14ac:dyDescent="0.35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 x14ac:dyDescent="0.35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 x14ac:dyDescent="0.35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 x14ac:dyDescent="0.35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 x14ac:dyDescent="0.35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 x14ac:dyDescent="0.35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 x14ac:dyDescent="0.35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 x14ac:dyDescent="0.35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 x14ac:dyDescent="0.35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 x14ac:dyDescent="0.35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 x14ac:dyDescent="0.35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 x14ac:dyDescent="0.35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 x14ac:dyDescent="0.35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 x14ac:dyDescent="0.35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 x14ac:dyDescent="0.35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 x14ac:dyDescent="0.35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 x14ac:dyDescent="0.35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 x14ac:dyDescent="0.35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 x14ac:dyDescent="0.35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 x14ac:dyDescent="0.35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 x14ac:dyDescent="0.35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 x14ac:dyDescent="0.35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 x14ac:dyDescent="0.35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 x14ac:dyDescent="0.35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 x14ac:dyDescent="0.35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 x14ac:dyDescent="0.35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 x14ac:dyDescent="0.35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 x14ac:dyDescent="0.35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 x14ac:dyDescent="0.35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 x14ac:dyDescent="0.35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 x14ac:dyDescent="0.35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 x14ac:dyDescent="0.35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 x14ac:dyDescent="0.35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 x14ac:dyDescent="0.35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 x14ac:dyDescent="0.35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 x14ac:dyDescent="0.35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 x14ac:dyDescent="0.35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 x14ac:dyDescent="0.35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 x14ac:dyDescent="0.35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 x14ac:dyDescent="0.35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 x14ac:dyDescent="0.35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 x14ac:dyDescent="0.35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 x14ac:dyDescent="0.35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 x14ac:dyDescent="0.35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 x14ac:dyDescent="0.35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 x14ac:dyDescent="0.35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 x14ac:dyDescent="0.35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 x14ac:dyDescent="0.35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 x14ac:dyDescent="0.35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 x14ac:dyDescent="0.35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 x14ac:dyDescent="0.35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 x14ac:dyDescent="0.35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 x14ac:dyDescent="0.35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 x14ac:dyDescent="0.35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 x14ac:dyDescent="0.35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 x14ac:dyDescent="0.35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 x14ac:dyDescent="0.35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 x14ac:dyDescent="0.35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 x14ac:dyDescent="0.35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 x14ac:dyDescent="0.35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 x14ac:dyDescent="0.35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 x14ac:dyDescent="0.35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 x14ac:dyDescent="0.35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 x14ac:dyDescent="0.35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 x14ac:dyDescent="0.35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 x14ac:dyDescent="0.35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 x14ac:dyDescent="0.35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 x14ac:dyDescent="0.35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 x14ac:dyDescent="0.35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 x14ac:dyDescent="0.35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 x14ac:dyDescent="0.35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 x14ac:dyDescent="0.35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 x14ac:dyDescent="0.35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 x14ac:dyDescent="0.35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 x14ac:dyDescent="0.35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 x14ac:dyDescent="0.35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 x14ac:dyDescent="0.35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 x14ac:dyDescent="0.35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 x14ac:dyDescent="0.35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 x14ac:dyDescent="0.35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 x14ac:dyDescent="0.35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 x14ac:dyDescent="0.35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 x14ac:dyDescent="0.35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 x14ac:dyDescent="0.35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 x14ac:dyDescent="0.35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 x14ac:dyDescent="0.35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 x14ac:dyDescent="0.35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 x14ac:dyDescent="0.35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 x14ac:dyDescent="0.35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 x14ac:dyDescent="0.35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 x14ac:dyDescent="0.35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 x14ac:dyDescent="0.35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 x14ac:dyDescent="0.35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 x14ac:dyDescent="0.35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 x14ac:dyDescent="0.35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 x14ac:dyDescent="0.35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 x14ac:dyDescent="0.35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 x14ac:dyDescent="0.35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 x14ac:dyDescent="0.35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 x14ac:dyDescent="0.35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 x14ac:dyDescent="0.35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 x14ac:dyDescent="0.35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 x14ac:dyDescent="0.35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 x14ac:dyDescent="0.35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 x14ac:dyDescent="0.35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 x14ac:dyDescent="0.35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 x14ac:dyDescent="0.35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 x14ac:dyDescent="0.35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 x14ac:dyDescent="0.35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 x14ac:dyDescent="0.35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 x14ac:dyDescent="0.35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 x14ac:dyDescent="0.35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 x14ac:dyDescent="0.35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 x14ac:dyDescent="0.35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 x14ac:dyDescent="0.35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 x14ac:dyDescent="0.35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 x14ac:dyDescent="0.35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 x14ac:dyDescent="0.35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 x14ac:dyDescent="0.35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 x14ac:dyDescent="0.35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 x14ac:dyDescent="0.35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 x14ac:dyDescent="0.35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 x14ac:dyDescent="0.35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 x14ac:dyDescent="0.35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 x14ac:dyDescent="0.35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 x14ac:dyDescent="0.35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 x14ac:dyDescent="0.35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 x14ac:dyDescent="0.35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 x14ac:dyDescent="0.35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 x14ac:dyDescent="0.35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 x14ac:dyDescent="0.35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1"/>
  <sheetViews>
    <sheetView workbookViewId="0">
      <pane ySplit="1" topLeftCell="A3" activePane="bottomLeft" state="frozen"/>
      <selection pane="bottomLeft" activeCell="R3" sqref="R3"/>
    </sheetView>
  </sheetViews>
  <sheetFormatPr defaultRowHeight="14.5" x14ac:dyDescent="0.35"/>
  <cols>
    <col min="1" max="1" width="14" customWidth="1"/>
    <col min="2" max="2" width="21" customWidth="1"/>
    <col min="3" max="4" width="14" customWidth="1"/>
    <col min="5" max="5" width="17" customWidth="1"/>
    <col min="6" max="6" width="14" customWidth="1"/>
    <col min="7" max="7" width="18" customWidth="1"/>
    <col min="8" max="8" width="14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  <col min="15" max="15" width="14" customWidth="1"/>
    <col min="16" max="16" width="23" customWidth="1"/>
    <col min="17" max="18" width="24" customWidth="1"/>
    <col min="19" max="19" width="5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</row>
    <row r="2" spans="1:19" x14ac:dyDescent="0.35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  <c r="O2" s="4">
        <f t="shared" ref="O2:O65" si="0">B2</f>
        <v>45658</v>
      </c>
      <c r="P2" s="2" t="str">
        <f t="shared" ref="P2:P65" si="1">TEXT(O2,"yyyy-mm")</f>
        <v>2025-01</v>
      </c>
      <c r="Q2" s="2">
        <f t="shared" ref="Q2:Q65" si="2">IFERROR(M2/F2,"")</f>
        <v>79.358301614068893</v>
      </c>
      <c r="R2" s="5">
        <f t="shared" ref="R2:R65" si="3">IFERROR(N2/M2,"")</f>
        <v>0.12802937717321888</v>
      </c>
      <c r="S2" s="2" t="str">
        <f t="shared" ref="S2:S65" si="4">IF(OR(M2="",E2="",F2="",I2=""),"Check","OK")</f>
        <v>OK</v>
      </c>
    </row>
    <row r="3" spans="1:19" x14ac:dyDescent="0.35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  <c r="O3" s="4">
        <f t="shared" si="0"/>
        <v>45689</v>
      </c>
      <c r="P3" s="2" t="str">
        <f t="shared" si="1"/>
        <v>2025-02</v>
      </c>
      <c r="Q3" s="2">
        <f t="shared" si="2"/>
        <v>74.753858842936253</v>
      </c>
      <c r="R3" s="5">
        <f t="shared" si="3"/>
        <v>0.16728328783360338</v>
      </c>
      <c r="S3" s="2" t="str">
        <f t="shared" si="4"/>
        <v>OK</v>
      </c>
    </row>
    <row r="4" spans="1:19" x14ac:dyDescent="0.35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  <c r="O4" s="4">
        <f t="shared" si="0"/>
        <v>45717</v>
      </c>
      <c r="P4" s="2" t="str">
        <f t="shared" si="1"/>
        <v>2025-03</v>
      </c>
      <c r="Q4" s="2">
        <f t="shared" si="2"/>
        <v>74.478443981125864</v>
      </c>
      <c r="R4" s="5">
        <f t="shared" si="3"/>
        <v>0.15011131360604368</v>
      </c>
      <c r="S4" s="2" t="str">
        <f t="shared" si="4"/>
        <v>OK</v>
      </c>
    </row>
    <row r="5" spans="1:19" x14ac:dyDescent="0.35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  <c r="O5" s="4">
        <f t="shared" si="0"/>
        <v>45748</v>
      </c>
      <c r="P5" s="2" t="str">
        <f t="shared" si="1"/>
        <v>2025-04</v>
      </c>
      <c r="Q5" s="2">
        <f t="shared" si="2"/>
        <v>69.867490191920268</v>
      </c>
      <c r="R5" s="5">
        <f t="shared" si="3"/>
        <v>0.14859212866867205</v>
      </c>
      <c r="S5" s="2" t="str">
        <f t="shared" si="4"/>
        <v>OK</v>
      </c>
    </row>
    <row r="6" spans="1:19" x14ac:dyDescent="0.35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  <c r="O6" s="4">
        <f t="shared" si="0"/>
        <v>45658</v>
      </c>
      <c r="P6" s="2" t="str">
        <f t="shared" si="1"/>
        <v>2025-01</v>
      </c>
      <c r="Q6" s="2">
        <f t="shared" si="2"/>
        <v>77.66803981141959</v>
      </c>
      <c r="R6" s="5">
        <f t="shared" si="3"/>
        <v>0.16080062919455845</v>
      </c>
      <c r="S6" s="2" t="str">
        <f t="shared" si="4"/>
        <v>OK</v>
      </c>
    </row>
    <row r="7" spans="1:19" x14ac:dyDescent="0.35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  <c r="O7" s="4">
        <f t="shared" si="0"/>
        <v>45689</v>
      </c>
      <c r="P7" s="2" t="str">
        <f t="shared" si="1"/>
        <v>2025-02</v>
      </c>
      <c r="Q7" s="2">
        <f t="shared" si="2"/>
        <v>77.801811683006534</v>
      </c>
      <c r="R7" s="5">
        <f t="shared" si="3"/>
        <v>0.19637081944767751</v>
      </c>
      <c r="S7" s="2" t="str">
        <f t="shared" si="4"/>
        <v>OK</v>
      </c>
    </row>
    <row r="8" spans="1:19" x14ac:dyDescent="0.35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  <c r="O8" s="4">
        <f t="shared" si="0"/>
        <v>45717</v>
      </c>
      <c r="P8" s="2" t="str">
        <f t="shared" si="1"/>
        <v>2025-03</v>
      </c>
      <c r="Q8" s="2">
        <f t="shared" si="2"/>
        <v>75.98111718161266</v>
      </c>
      <c r="R8" s="5">
        <f t="shared" si="3"/>
        <v>0.16285902451123119</v>
      </c>
      <c r="S8" s="2" t="str">
        <f t="shared" si="4"/>
        <v>OK</v>
      </c>
    </row>
    <row r="9" spans="1:19" x14ac:dyDescent="0.35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  <c r="O9" s="4">
        <f t="shared" si="0"/>
        <v>45748</v>
      </c>
      <c r="P9" s="2" t="str">
        <f t="shared" si="1"/>
        <v>2025-04</v>
      </c>
      <c r="Q9" s="2">
        <f t="shared" si="2"/>
        <v>99.23710283646551</v>
      </c>
      <c r="R9" s="5">
        <f t="shared" si="3"/>
        <v>0.17556930704191212</v>
      </c>
      <c r="S9" s="2" t="str">
        <f t="shared" si="4"/>
        <v>OK</v>
      </c>
    </row>
    <row r="10" spans="1:19" x14ac:dyDescent="0.35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  <c r="O10" s="4">
        <f t="shared" si="0"/>
        <v>45658</v>
      </c>
      <c r="P10" s="2" t="str">
        <f t="shared" si="1"/>
        <v>2025-01</v>
      </c>
      <c r="Q10" s="2">
        <f t="shared" si="2"/>
        <v>84.760151197741138</v>
      </c>
      <c r="R10" s="5">
        <f t="shared" si="3"/>
        <v>0.14636864232339838</v>
      </c>
      <c r="S10" s="2" t="str">
        <f t="shared" si="4"/>
        <v>OK</v>
      </c>
    </row>
    <row r="11" spans="1:19" x14ac:dyDescent="0.35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  <c r="O11" s="4">
        <f t="shared" si="0"/>
        <v>45689</v>
      </c>
      <c r="P11" s="2" t="str">
        <f t="shared" si="1"/>
        <v>2025-02</v>
      </c>
      <c r="Q11" s="2">
        <f t="shared" si="2"/>
        <v>82.356585262712755</v>
      </c>
      <c r="R11" s="5">
        <f t="shared" si="3"/>
        <v>0.13649113836578469</v>
      </c>
      <c r="S11" s="2" t="str">
        <f t="shared" si="4"/>
        <v>OK</v>
      </c>
    </row>
    <row r="12" spans="1:19" x14ac:dyDescent="0.35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  <c r="O12" s="4">
        <f t="shared" si="0"/>
        <v>45717</v>
      </c>
      <c r="P12" s="2" t="str">
        <f t="shared" si="1"/>
        <v>2025-03</v>
      </c>
      <c r="Q12" s="2">
        <f t="shared" si="2"/>
        <v>78.83348887919756</v>
      </c>
      <c r="R12" s="5">
        <f t="shared" si="3"/>
        <v>0.1702916916691759</v>
      </c>
      <c r="S12" s="2" t="str">
        <f t="shared" si="4"/>
        <v>OK</v>
      </c>
    </row>
    <row r="13" spans="1:19" x14ac:dyDescent="0.35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  <c r="O13" s="4">
        <f t="shared" si="0"/>
        <v>45748</v>
      </c>
      <c r="P13" s="2" t="str">
        <f t="shared" si="1"/>
        <v>2025-04</v>
      </c>
      <c r="Q13" s="2">
        <f t="shared" si="2"/>
        <v>81.103467497773821</v>
      </c>
      <c r="R13" s="5">
        <f t="shared" si="3"/>
        <v>0.17445398122429587</v>
      </c>
      <c r="S13" s="2" t="str">
        <f t="shared" si="4"/>
        <v>OK</v>
      </c>
    </row>
    <row r="14" spans="1:19" x14ac:dyDescent="0.35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  <c r="O14" s="4">
        <f t="shared" si="0"/>
        <v>45658</v>
      </c>
      <c r="P14" s="2" t="str">
        <f t="shared" si="1"/>
        <v>2025-01</v>
      </c>
      <c r="Q14" s="2">
        <f t="shared" si="2"/>
        <v>72.185409001956941</v>
      </c>
      <c r="R14" s="5">
        <f t="shared" si="3"/>
        <v>0.11656711148048199</v>
      </c>
      <c r="S14" s="2" t="str">
        <f t="shared" si="4"/>
        <v>OK</v>
      </c>
    </row>
    <row r="15" spans="1:19" x14ac:dyDescent="0.35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  <c r="O15" s="4">
        <f t="shared" si="0"/>
        <v>45689</v>
      </c>
      <c r="P15" s="2" t="str">
        <f t="shared" si="1"/>
        <v>2025-02</v>
      </c>
      <c r="Q15" s="2">
        <f t="shared" si="2"/>
        <v>72.270368012731254</v>
      </c>
      <c r="R15" s="5">
        <f t="shared" si="3"/>
        <v>0.16890755472138225</v>
      </c>
      <c r="S15" s="2" t="str">
        <f t="shared" si="4"/>
        <v>OK</v>
      </c>
    </row>
    <row r="16" spans="1:19" x14ac:dyDescent="0.35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  <c r="O16" s="4">
        <f t="shared" si="0"/>
        <v>45717</v>
      </c>
      <c r="P16" s="2" t="str">
        <f t="shared" si="1"/>
        <v>2025-03</v>
      </c>
      <c r="Q16" s="2">
        <f t="shared" si="2"/>
        <v>83.92367509836987</v>
      </c>
      <c r="R16" s="5">
        <f t="shared" si="3"/>
        <v>0.18327732113559272</v>
      </c>
      <c r="S16" s="2" t="str">
        <f t="shared" si="4"/>
        <v>OK</v>
      </c>
    </row>
    <row r="17" spans="1:19" x14ac:dyDescent="0.35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  <c r="O17" s="4">
        <f t="shared" si="0"/>
        <v>45748</v>
      </c>
      <c r="P17" s="2" t="str">
        <f t="shared" si="1"/>
        <v>2025-04</v>
      </c>
      <c r="Q17" s="2">
        <f t="shared" si="2"/>
        <v>76.23555941499086</v>
      </c>
      <c r="R17" s="5">
        <f t="shared" si="3"/>
        <v>0.13758116111347463</v>
      </c>
      <c r="S17" s="2" t="str">
        <f t="shared" si="4"/>
        <v>OK</v>
      </c>
    </row>
    <row r="18" spans="1:19" x14ac:dyDescent="0.35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  <c r="O18" s="4">
        <f t="shared" si="0"/>
        <v>45658</v>
      </c>
      <c r="P18" s="2" t="str">
        <f t="shared" si="1"/>
        <v>2025-01</v>
      </c>
      <c r="Q18" s="2">
        <f t="shared" si="2"/>
        <v>94.395992631429792</v>
      </c>
      <c r="R18" s="5">
        <f t="shared" si="3"/>
        <v>0.16136031430159567</v>
      </c>
      <c r="S18" s="2" t="str">
        <f t="shared" si="4"/>
        <v>OK</v>
      </c>
    </row>
    <row r="19" spans="1:19" x14ac:dyDescent="0.35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  <c r="O19" s="4">
        <f t="shared" si="0"/>
        <v>45689</v>
      </c>
      <c r="P19" s="2" t="str">
        <f t="shared" si="1"/>
        <v>2025-02</v>
      </c>
      <c r="Q19" s="2">
        <f t="shared" si="2"/>
        <v>134.44878958479941</v>
      </c>
      <c r="R19" s="5">
        <f t="shared" si="3"/>
        <v>0.14600016096862004</v>
      </c>
      <c r="S19" s="2" t="str">
        <f t="shared" si="4"/>
        <v>OK</v>
      </c>
    </row>
    <row r="20" spans="1:19" x14ac:dyDescent="0.35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  <c r="O20" s="4">
        <f t="shared" si="0"/>
        <v>45717</v>
      </c>
      <c r="P20" s="2" t="str">
        <f t="shared" si="1"/>
        <v>2025-03</v>
      </c>
      <c r="Q20" s="2">
        <f t="shared" si="2"/>
        <v>120.36352473817261</v>
      </c>
      <c r="R20" s="5">
        <f t="shared" si="3"/>
        <v>0.21099111095375572</v>
      </c>
      <c r="S20" s="2" t="str">
        <f t="shared" si="4"/>
        <v>OK</v>
      </c>
    </row>
    <row r="21" spans="1:19" x14ac:dyDescent="0.35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  <c r="O21" s="4">
        <f t="shared" si="0"/>
        <v>45748</v>
      </c>
      <c r="P21" s="2" t="str">
        <f t="shared" si="1"/>
        <v>2025-04</v>
      </c>
      <c r="Q21" s="2">
        <f t="shared" si="2"/>
        <v>121.60738951695785</v>
      </c>
      <c r="R21" s="5">
        <f t="shared" si="3"/>
        <v>0.16821838073580855</v>
      </c>
      <c r="S21" s="2" t="str">
        <f t="shared" si="4"/>
        <v>OK</v>
      </c>
    </row>
    <row r="22" spans="1:19" x14ac:dyDescent="0.35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  <c r="O22" s="4">
        <f t="shared" si="0"/>
        <v>45658</v>
      </c>
      <c r="P22" s="2" t="str">
        <f t="shared" si="1"/>
        <v>2025-01</v>
      </c>
      <c r="Q22" s="2">
        <f t="shared" si="2"/>
        <v>147.31460666194189</v>
      </c>
      <c r="R22" s="5">
        <f t="shared" si="3"/>
        <v>0.14716367305425537</v>
      </c>
      <c r="S22" s="2" t="str">
        <f t="shared" si="4"/>
        <v>OK</v>
      </c>
    </row>
    <row r="23" spans="1:19" x14ac:dyDescent="0.35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  <c r="O23" s="4">
        <f t="shared" si="0"/>
        <v>45689</v>
      </c>
      <c r="P23" s="2" t="str">
        <f t="shared" si="1"/>
        <v>2025-02</v>
      </c>
      <c r="Q23" s="2">
        <f t="shared" si="2"/>
        <v>231.9213248467704</v>
      </c>
      <c r="R23" s="5">
        <f t="shared" si="3"/>
        <v>0.16103157940231277</v>
      </c>
      <c r="S23" s="2" t="str">
        <f t="shared" si="4"/>
        <v>OK</v>
      </c>
    </row>
    <row r="24" spans="1:19" x14ac:dyDescent="0.35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  <c r="O24" s="4">
        <f t="shared" si="0"/>
        <v>45717</v>
      </c>
      <c r="P24" s="2" t="str">
        <f t="shared" si="1"/>
        <v>2025-03</v>
      </c>
      <c r="Q24" s="2">
        <f t="shared" si="2"/>
        <v>165.25844233055886</v>
      </c>
      <c r="R24" s="5">
        <f t="shared" si="3"/>
        <v>0.20722372301231054</v>
      </c>
      <c r="S24" s="2" t="str">
        <f t="shared" si="4"/>
        <v>OK</v>
      </c>
    </row>
    <row r="25" spans="1:19" x14ac:dyDescent="0.35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  <c r="O25" s="4">
        <f t="shared" si="0"/>
        <v>45748</v>
      </c>
      <c r="P25" s="2" t="str">
        <f t="shared" si="1"/>
        <v>2025-04</v>
      </c>
      <c r="Q25" s="2">
        <f t="shared" si="2"/>
        <v>216.53692690394183</v>
      </c>
      <c r="R25" s="5">
        <f t="shared" si="3"/>
        <v>0.13754674507117651</v>
      </c>
      <c r="S25" s="2" t="str">
        <f t="shared" si="4"/>
        <v>OK</v>
      </c>
    </row>
    <row r="26" spans="1:19" x14ac:dyDescent="0.35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  <c r="O26" s="4">
        <f t="shared" si="0"/>
        <v>45658</v>
      </c>
      <c r="P26" s="2" t="str">
        <f t="shared" si="1"/>
        <v>2025-01</v>
      </c>
      <c r="Q26" s="2">
        <f t="shared" si="2"/>
        <v>79.445208455666474</v>
      </c>
      <c r="R26" s="5">
        <f t="shared" si="3"/>
        <v>0.18324898813229551</v>
      </c>
      <c r="S26" s="2" t="str">
        <f t="shared" si="4"/>
        <v>OK</v>
      </c>
    </row>
    <row r="27" spans="1:19" x14ac:dyDescent="0.35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  <c r="O27" s="4">
        <f t="shared" si="0"/>
        <v>45689</v>
      </c>
      <c r="P27" s="2" t="str">
        <f t="shared" si="1"/>
        <v>2025-02</v>
      </c>
      <c r="Q27" s="2">
        <f t="shared" si="2"/>
        <v>89.666398566147635</v>
      </c>
      <c r="R27" s="5">
        <f t="shared" si="3"/>
        <v>0.13938661951397108</v>
      </c>
      <c r="S27" s="2" t="str">
        <f t="shared" si="4"/>
        <v>OK</v>
      </c>
    </row>
    <row r="28" spans="1:19" x14ac:dyDescent="0.35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  <c r="O28" s="4">
        <f t="shared" si="0"/>
        <v>45717</v>
      </c>
      <c r="P28" s="2" t="str">
        <f t="shared" si="1"/>
        <v>2025-03</v>
      </c>
      <c r="Q28" s="2">
        <f t="shared" si="2"/>
        <v>84.13020075147611</v>
      </c>
      <c r="R28" s="5">
        <f t="shared" si="3"/>
        <v>0.14365324039182578</v>
      </c>
      <c r="S28" s="2" t="str">
        <f t="shared" si="4"/>
        <v>OK</v>
      </c>
    </row>
    <row r="29" spans="1:19" x14ac:dyDescent="0.35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  <c r="O29" s="4">
        <f t="shared" si="0"/>
        <v>45748</v>
      </c>
      <c r="P29" s="2" t="str">
        <f t="shared" si="1"/>
        <v>2025-04</v>
      </c>
      <c r="Q29" s="2">
        <f t="shared" si="2"/>
        <v>97.139965388342787</v>
      </c>
      <c r="R29" s="5">
        <f t="shared" si="3"/>
        <v>0.15123362703060653</v>
      </c>
      <c r="S29" s="2" t="str">
        <f t="shared" si="4"/>
        <v>OK</v>
      </c>
    </row>
    <row r="30" spans="1:19" x14ac:dyDescent="0.35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  <c r="O30" s="4">
        <f t="shared" si="0"/>
        <v>45658</v>
      </c>
      <c r="P30" s="2" t="str">
        <f t="shared" si="1"/>
        <v>2025-01</v>
      </c>
      <c r="Q30" s="2">
        <f t="shared" si="2"/>
        <v>128.34614092276829</v>
      </c>
      <c r="R30" s="5">
        <f t="shared" si="3"/>
        <v>0.14218078497721603</v>
      </c>
      <c r="S30" s="2" t="str">
        <f t="shared" si="4"/>
        <v>OK</v>
      </c>
    </row>
    <row r="31" spans="1:19" x14ac:dyDescent="0.35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  <c r="O31" s="4">
        <f t="shared" si="0"/>
        <v>45689</v>
      </c>
      <c r="P31" s="2" t="str">
        <f t="shared" si="1"/>
        <v>2025-02</v>
      </c>
      <c r="Q31" s="2">
        <f t="shared" si="2"/>
        <v>224.84677405857741</v>
      </c>
      <c r="R31" s="5">
        <f t="shared" si="3"/>
        <v>0.11867360197076282</v>
      </c>
      <c r="S31" s="2" t="str">
        <f t="shared" si="4"/>
        <v>OK</v>
      </c>
    </row>
    <row r="32" spans="1:19" x14ac:dyDescent="0.35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  <c r="O32" s="4">
        <f t="shared" si="0"/>
        <v>45717</v>
      </c>
      <c r="P32" s="2" t="str">
        <f t="shared" si="1"/>
        <v>2025-03</v>
      </c>
      <c r="Q32" s="2">
        <f t="shared" si="2"/>
        <v>202.41724807770134</v>
      </c>
      <c r="R32" s="5">
        <f t="shared" si="3"/>
        <v>0.14191499173625957</v>
      </c>
      <c r="S32" s="2" t="str">
        <f t="shared" si="4"/>
        <v>OK</v>
      </c>
    </row>
    <row r="33" spans="1:19" x14ac:dyDescent="0.35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  <c r="O33" s="4">
        <f t="shared" si="0"/>
        <v>45748</v>
      </c>
      <c r="P33" s="2" t="str">
        <f t="shared" si="1"/>
        <v>2025-04</v>
      </c>
      <c r="Q33" s="2">
        <f t="shared" si="2"/>
        <v>440.69761071060765</v>
      </c>
      <c r="R33" s="5">
        <f t="shared" si="3"/>
        <v>0.19121520607552794</v>
      </c>
      <c r="S33" s="2" t="str">
        <f t="shared" si="4"/>
        <v>OK</v>
      </c>
    </row>
    <row r="34" spans="1:19" x14ac:dyDescent="0.35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  <c r="O34" s="4">
        <f t="shared" si="0"/>
        <v>45658</v>
      </c>
      <c r="P34" s="2" t="str">
        <f t="shared" si="1"/>
        <v>2025-01</v>
      </c>
      <c r="Q34" s="2">
        <f t="shared" si="2"/>
        <v>68.073499840916327</v>
      </c>
      <c r="R34" s="5">
        <f t="shared" si="3"/>
        <v>0.1267284805966139</v>
      </c>
      <c r="S34" s="2" t="str">
        <f t="shared" si="4"/>
        <v>OK</v>
      </c>
    </row>
    <row r="35" spans="1:19" x14ac:dyDescent="0.35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  <c r="O35" s="4">
        <f t="shared" si="0"/>
        <v>45689</v>
      </c>
      <c r="P35" s="2" t="str">
        <f t="shared" si="1"/>
        <v>2025-02</v>
      </c>
      <c r="Q35" s="2">
        <f t="shared" si="2"/>
        <v>68.360646430098328</v>
      </c>
      <c r="R35" s="5">
        <f t="shared" si="3"/>
        <v>0.20635271955532572</v>
      </c>
      <c r="S35" s="2" t="str">
        <f t="shared" si="4"/>
        <v>OK</v>
      </c>
    </row>
    <row r="36" spans="1:19" x14ac:dyDescent="0.35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  <c r="O36" s="4">
        <f t="shared" si="0"/>
        <v>45717</v>
      </c>
      <c r="P36" s="2" t="str">
        <f t="shared" si="1"/>
        <v>2025-03</v>
      </c>
      <c r="Q36" s="2">
        <f t="shared" si="2"/>
        <v>84.554150703778177</v>
      </c>
      <c r="R36" s="5">
        <f t="shared" si="3"/>
        <v>0.20213855855726631</v>
      </c>
      <c r="S36" s="2" t="str">
        <f t="shared" si="4"/>
        <v>OK</v>
      </c>
    </row>
    <row r="37" spans="1:19" x14ac:dyDescent="0.35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  <c r="O37" s="4">
        <f t="shared" si="0"/>
        <v>45748</v>
      </c>
      <c r="P37" s="2" t="str">
        <f t="shared" si="1"/>
        <v>2025-04</v>
      </c>
      <c r="Q37" s="2">
        <f t="shared" si="2"/>
        <v>76.626784655122933</v>
      </c>
      <c r="R37" s="5">
        <f t="shared" si="3"/>
        <v>0.18632464105398513</v>
      </c>
      <c r="S37" s="2" t="str">
        <f t="shared" si="4"/>
        <v>OK</v>
      </c>
    </row>
    <row r="38" spans="1:19" x14ac:dyDescent="0.35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  <c r="O38" s="4">
        <f t="shared" si="0"/>
        <v>45658</v>
      </c>
      <c r="P38" s="2" t="str">
        <f t="shared" si="1"/>
        <v>2025-01</v>
      </c>
      <c r="Q38" s="2">
        <f t="shared" si="2"/>
        <v>92.848374066530894</v>
      </c>
      <c r="R38" s="5">
        <f t="shared" si="3"/>
        <v>0.141190491136097</v>
      </c>
      <c r="S38" s="2" t="str">
        <f t="shared" si="4"/>
        <v>OK</v>
      </c>
    </row>
    <row r="39" spans="1:19" x14ac:dyDescent="0.35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  <c r="O39" s="4">
        <f t="shared" si="0"/>
        <v>45689</v>
      </c>
      <c r="P39" s="2" t="str">
        <f t="shared" si="1"/>
        <v>2025-02</v>
      </c>
      <c r="Q39" s="2">
        <f t="shared" si="2"/>
        <v>88.073875674350177</v>
      </c>
      <c r="R39" s="5">
        <f t="shared" si="3"/>
        <v>0.12981196831492042</v>
      </c>
      <c r="S39" s="2" t="str">
        <f t="shared" si="4"/>
        <v>OK</v>
      </c>
    </row>
    <row r="40" spans="1:19" x14ac:dyDescent="0.35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  <c r="O40" s="4">
        <f t="shared" si="0"/>
        <v>45717</v>
      </c>
      <c r="P40" s="2" t="str">
        <f t="shared" si="1"/>
        <v>2025-03</v>
      </c>
      <c r="Q40" s="2">
        <f t="shared" si="2"/>
        <v>97.412509918011111</v>
      </c>
      <c r="R40" s="5">
        <f t="shared" si="3"/>
        <v>0.15700436607951798</v>
      </c>
      <c r="S40" s="2" t="str">
        <f t="shared" si="4"/>
        <v>OK</v>
      </c>
    </row>
    <row r="41" spans="1:19" x14ac:dyDescent="0.35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  <c r="O41" s="4">
        <f t="shared" si="0"/>
        <v>45748</v>
      </c>
      <c r="P41" s="2" t="str">
        <f t="shared" si="1"/>
        <v>2025-04</v>
      </c>
      <c r="Q41" s="2">
        <f t="shared" si="2"/>
        <v>86.332970410502185</v>
      </c>
      <c r="R41" s="5">
        <f t="shared" si="3"/>
        <v>0.20192578333341479</v>
      </c>
      <c r="S41" s="2" t="str">
        <f t="shared" si="4"/>
        <v>OK</v>
      </c>
    </row>
    <row r="42" spans="1:19" x14ac:dyDescent="0.35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  <c r="O42" s="4">
        <f t="shared" si="0"/>
        <v>45658</v>
      </c>
      <c r="P42" s="2" t="str">
        <f t="shared" si="1"/>
        <v>2025-01</v>
      </c>
      <c r="Q42" s="2">
        <f t="shared" si="2"/>
        <v>161.80214480874315</v>
      </c>
      <c r="R42" s="5">
        <f t="shared" si="3"/>
        <v>0.15584634711641426</v>
      </c>
      <c r="S42" s="2" t="str">
        <f t="shared" si="4"/>
        <v>OK</v>
      </c>
    </row>
    <row r="43" spans="1:19" x14ac:dyDescent="0.35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  <c r="O43" s="4">
        <f t="shared" si="0"/>
        <v>45689</v>
      </c>
      <c r="P43" s="2" t="str">
        <f t="shared" si="1"/>
        <v>2025-02</v>
      </c>
      <c r="Q43" s="2">
        <f t="shared" si="2"/>
        <v>165.05871087697551</v>
      </c>
      <c r="R43" s="5">
        <f t="shared" si="3"/>
        <v>0.11392462431694118</v>
      </c>
      <c r="S43" s="2" t="str">
        <f t="shared" si="4"/>
        <v>OK</v>
      </c>
    </row>
    <row r="44" spans="1:19" x14ac:dyDescent="0.35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  <c r="O44" s="4">
        <f t="shared" si="0"/>
        <v>45717</v>
      </c>
      <c r="P44" s="2" t="str">
        <f t="shared" si="1"/>
        <v>2025-03</v>
      </c>
      <c r="Q44" s="2">
        <f t="shared" si="2"/>
        <v>195.66344642857143</v>
      </c>
      <c r="R44" s="5">
        <f t="shared" si="3"/>
        <v>0.13525371660564259</v>
      </c>
      <c r="S44" s="2" t="str">
        <f t="shared" si="4"/>
        <v>OK</v>
      </c>
    </row>
    <row r="45" spans="1:19" x14ac:dyDescent="0.35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  <c r="O45" s="4">
        <f t="shared" si="0"/>
        <v>45748</v>
      </c>
      <c r="P45" s="2" t="str">
        <f t="shared" si="1"/>
        <v>2025-04</v>
      </c>
      <c r="Q45" s="2">
        <f t="shared" si="2"/>
        <v>166.16639209225701</v>
      </c>
      <c r="R45" s="5">
        <f t="shared" si="3"/>
        <v>0.17673930645198604</v>
      </c>
      <c r="S45" s="2" t="str">
        <f t="shared" si="4"/>
        <v>OK</v>
      </c>
    </row>
    <row r="46" spans="1:19" x14ac:dyDescent="0.35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  <c r="O46" s="4">
        <f t="shared" si="0"/>
        <v>45658</v>
      </c>
      <c r="P46" s="2" t="str">
        <f t="shared" si="1"/>
        <v>2025-01</v>
      </c>
      <c r="Q46" s="2">
        <f t="shared" si="2"/>
        <v>115.73714285714286</v>
      </c>
      <c r="R46" s="5">
        <f t="shared" si="3"/>
        <v>0.1751169333142559</v>
      </c>
      <c r="S46" s="2" t="str">
        <f t="shared" si="4"/>
        <v>OK</v>
      </c>
    </row>
    <row r="47" spans="1:19" x14ac:dyDescent="0.35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  <c r="O47" s="4">
        <f t="shared" si="0"/>
        <v>45689</v>
      </c>
      <c r="P47" s="2" t="str">
        <f t="shared" si="1"/>
        <v>2025-02</v>
      </c>
      <c r="Q47" s="2">
        <f t="shared" si="2"/>
        <v>134.44022421524664</v>
      </c>
      <c r="R47" s="5">
        <f t="shared" si="3"/>
        <v>0.18793275688563471</v>
      </c>
      <c r="S47" s="2" t="str">
        <f t="shared" si="4"/>
        <v>OK</v>
      </c>
    </row>
    <row r="48" spans="1:19" x14ac:dyDescent="0.35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  <c r="O48" s="4">
        <f t="shared" si="0"/>
        <v>45717</v>
      </c>
      <c r="P48" s="2" t="str">
        <f t="shared" si="1"/>
        <v>2025-03</v>
      </c>
      <c r="Q48" s="2">
        <f t="shared" si="2"/>
        <v>161.61937171398526</v>
      </c>
      <c r="R48" s="5">
        <f t="shared" si="3"/>
        <v>0.16272639127297461</v>
      </c>
      <c r="S48" s="2" t="str">
        <f t="shared" si="4"/>
        <v>OK</v>
      </c>
    </row>
    <row r="49" spans="1:19" x14ac:dyDescent="0.35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  <c r="O49" s="4">
        <f t="shared" si="0"/>
        <v>45748</v>
      </c>
      <c r="P49" s="2" t="str">
        <f t="shared" si="1"/>
        <v>2025-04</v>
      </c>
      <c r="Q49" s="2">
        <f t="shared" si="2"/>
        <v>143.68329160530192</v>
      </c>
      <c r="R49" s="5">
        <f t="shared" si="3"/>
        <v>0.13839470923588235</v>
      </c>
      <c r="S49" s="2" t="str">
        <f t="shared" si="4"/>
        <v>OK</v>
      </c>
    </row>
    <row r="50" spans="1:19" x14ac:dyDescent="0.35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  <c r="O50" s="4">
        <f t="shared" si="0"/>
        <v>45658</v>
      </c>
      <c r="P50" s="2" t="str">
        <f t="shared" si="1"/>
        <v>2025-01</v>
      </c>
      <c r="Q50" s="2">
        <f t="shared" si="2"/>
        <v>122.02424373040752</v>
      </c>
      <c r="R50" s="5">
        <f t="shared" si="3"/>
        <v>0.17658361738653161</v>
      </c>
      <c r="S50" s="2" t="str">
        <f t="shared" si="4"/>
        <v>OK</v>
      </c>
    </row>
    <row r="51" spans="1:19" x14ac:dyDescent="0.35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  <c r="O51" s="4">
        <f t="shared" si="0"/>
        <v>45689</v>
      </c>
      <c r="P51" s="2" t="str">
        <f t="shared" si="1"/>
        <v>2025-02</v>
      </c>
      <c r="Q51" s="2">
        <f t="shared" si="2"/>
        <v>108.52627630868861</v>
      </c>
      <c r="R51" s="5">
        <f t="shared" si="3"/>
        <v>0.10043511363720561</v>
      </c>
      <c r="S51" s="2" t="str">
        <f t="shared" si="4"/>
        <v>OK</v>
      </c>
    </row>
    <row r="52" spans="1:19" x14ac:dyDescent="0.35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  <c r="O52" s="4">
        <f t="shared" si="0"/>
        <v>45717</v>
      </c>
      <c r="P52" s="2" t="str">
        <f t="shared" si="1"/>
        <v>2025-03</v>
      </c>
      <c r="Q52" s="2">
        <f t="shared" si="2"/>
        <v>121.48987572815534</v>
      </c>
      <c r="R52" s="5">
        <f t="shared" si="3"/>
        <v>0.18862911841820978</v>
      </c>
      <c r="S52" s="2" t="str">
        <f t="shared" si="4"/>
        <v>OK</v>
      </c>
    </row>
    <row r="53" spans="1:19" x14ac:dyDescent="0.35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  <c r="O53" s="4">
        <f t="shared" si="0"/>
        <v>45748</v>
      </c>
      <c r="P53" s="2" t="str">
        <f t="shared" si="1"/>
        <v>2025-04</v>
      </c>
      <c r="Q53" s="2">
        <f t="shared" si="2"/>
        <v>107.63877312560857</v>
      </c>
      <c r="R53" s="5">
        <f t="shared" si="3"/>
        <v>0.17310127842678294</v>
      </c>
      <c r="S53" s="2" t="str">
        <f t="shared" si="4"/>
        <v>OK</v>
      </c>
    </row>
    <row r="54" spans="1:19" x14ac:dyDescent="0.35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  <c r="O54" s="4">
        <f t="shared" si="0"/>
        <v>45658</v>
      </c>
      <c r="P54" s="2" t="str">
        <f t="shared" si="1"/>
        <v>2025-01</v>
      </c>
      <c r="Q54" s="2">
        <f t="shared" si="2"/>
        <v>141.36451662092102</v>
      </c>
      <c r="R54" s="5">
        <f t="shared" si="3"/>
        <v>0.17654475370482331</v>
      </c>
      <c r="S54" s="2" t="str">
        <f t="shared" si="4"/>
        <v>OK</v>
      </c>
    </row>
    <row r="55" spans="1:19" x14ac:dyDescent="0.35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  <c r="O55" s="4">
        <f t="shared" si="0"/>
        <v>45689</v>
      </c>
      <c r="P55" s="2" t="str">
        <f t="shared" si="1"/>
        <v>2025-02</v>
      </c>
      <c r="Q55" s="2">
        <f t="shared" si="2"/>
        <v>126.83501783590962</v>
      </c>
      <c r="R55" s="5">
        <f t="shared" si="3"/>
        <v>0.16397681596913796</v>
      </c>
      <c r="S55" s="2" t="str">
        <f t="shared" si="4"/>
        <v>OK</v>
      </c>
    </row>
    <row r="56" spans="1:19" x14ac:dyDescent="0.35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  <c r="O56" s="4">
        <f t="shared" si="0"/>
        <v>45717</v>
      </c>
      <c r="P56" s="2" t="str">
        <f t="shared" si="1"/>
        <v>2025-03</v>
      </c>
      <c r="Q56" s="2">
        <f t="shared" si="2"/>
        <v>130.68391950688905</v>
      </c>
      <c r="R56" s="5">
        <f t="shared" si="3"/>
        <v>0.13673479664702556</v>
      </c>
      <c r="S56" s="2" t="str">
        <f t="shared" si="4"/>
        <v>OK</v>
      </c>
    </row>
    <row r="57" spans="1:19" x14ac:dyDescent="0.35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  <c r="O57" s="4">
        <f t="shared" si="0"/>
        <v>45748</v>
      </c>
      <c r="P57" s="2" t="str">
        <f t="shared" si="1"/>
        <v>2025-04</v>
      </c>
      <c r="Q57" s="2">
        <f t="shared" si="2"/>
        <v>170.26367796018161</v>
      </c>
      <c r="R57" s="5">
        <f t="shared" si="3"/>
        <v>0.13244493844695407</v>
      </c>
      <c r="S57" s="2" t="str">
        <f t="shared" si="4"/>
        <v>OK</v>
      </c>
    </row>
    <row r="58" spans="1:19" x14ac:dyDescent="0.35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  <c r="O58" s="4">
        <f t="shared" si="0"/>
        <v>45658</v>
      </c>
      <c r="P58" s="2" t="str">
        <f t="shared" si="1"/>
        <v>2025-01</v>
      </c>
      <c r="Q58" s="2">
        <f t="shared" si="2"/>
        <v>217.85082422203533</v>
      </c>
      <c r="R58" s="5">
        <f t="shared" si="3"/>
        <v>0.20961807763223136</v>
      </c>
      <c r="S58" s="2" t="str">
        <f t="shared" si="4"/>
        <v>OK</v>
      </c>
    </row>
    <row r="59" spans="1:19" x14ac:dyDescent="0.35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  <c r="O59" s="4">
        <f t="shared" si="0"/>
        <v>45689</v>
      </c>
      <c r="P59" s="2" t="str">
        <f t="shared" si="1"/>
        <v>2025-02</v>
      </c>
      <c r="Q59" s="2">
        <f t="shared" si="2"/>
        <v>198.9258369781312</v>
      </c>
      <c r="R59" s="5">
        <f t="shared" si="3"/>
        <v>0.14683498538712333</v>
      </c>
      <c r="S59" s="2" t="str">
        <f t="shared" si="4"/>
        <v>OK</v>
      </c>
    </row>
    <row r="60" spans="1:19" x14ac:dyDescent="0.35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  <c r="O60" s="4">
        <f t="shared" si="0"/>
        <v>45717</v>
      </c>
      <c r="P60" s="2" t="str">
        <f t="shared" si="1"/>
        <v>2025-03</v>
      </c>
      <c r="Q60" s="2">
        <f t="shared" si="2"/>
        <v>153.47865489806068</v>
      </c>
      <c r="R60" s="5">
        <f t="shared" si="3"/>
        <v>0.19080461464577939</v>
      </c>
      <c r="S60" s="2" t="str">
        <f t="shared" si="4"/>
        <v>OK</v>
      </c>
    </row>
    <row r="61" spans="1:19" x14ac:dyDescent="0.35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  <c r="O61" s="4">
        <f t="shared" si="0"/>
        <v>45748</v>
      </c>
      <c r="P61" s="2" t="str">
        <f t="shared" si="1"/>
        <v>2025-04</v>
      </c>
      <c r="Q61" s="2">
        <f t="shared" si="2"/>
        <v>126.51506282842131</v>
      </c>
      <c r="R61" s="5">
        <f t="shared" si="3"/>
        <v>0.15560409835782854</v>
      </c>
      <c r="S61" s="2" t="str">
        <f t="shared" si="4"/>
        <v>OK</v>
      </c>
    </row>
    <row r="62" spans="1:19" x14ac:dyDescent="0.35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  <c r="O62" s="4">
        <f t="shared" si="0"/>
        <v>45658</v>
      </c>
      <c r="P62" s="2" t="str">
        <f t="shared" si="1"/>
        <v>2025-01</v>
      </c>
      <c r="Q62" s="2">
        <f t="shared" si="2"/>
        <v>141.26643611006406</v>
      </c>
      <c r="R62" s="5">
        <f t="shared" si="3"/>
        <v>0.1928098963590239</v>
      </c>
      <c r="S62" s="2" t="str">
        <f t="shared" si="4"/>
        <v>OK</v>
      </c>
    </row>
    <row r="63" spans="1:19" x14ac:dyDescent="0.35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  <c r="O63" s="4">
        <f t="shared" si="0"/>
        <v>45689</v>
      </c>
      <c r="P63" s="2" t="str">
        <f t="shared" si="1"/>
        <v>2025-02</v>
      </c>
      <c r="Q63" s="2">
        <f t="shared" si="2"/>
        <v>156.81427698574336</v>
      </c>
      <c r="R63" s="5">
        <f t="shared" si="3"/>
        <v>0.14856227241456388</v>
      </c>
      <c r="S63" s="2" t="str">
        <f t="shared" si="4"/>
        <v>OK</v>
      </c>
    </row>
    <row r="64" spans="1:19" x14ac:dyDescent="0.35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  <c r="O64" s="4">
        <f t="shared" si="0"/>
        <v>45717</v>
      </c>
      <c r="P64" s="2" t="str">
        <f t="shared" si="1"/>
        <v>2025-03</v>
      </c>
      <c r="Q64" s="2">
        <f t="shared" si="2"/>
        <v>148.7675422626788</v>
      </c>
      <c r="R64" s="5">
        <f t="shared" si="3"/>
        <v>0.17728617901187949</v>
      </c>
      <c r="S64" s="2" t="str">
        <f t="shared" si="4"/>
        <v>OK</v>
      </c>
    </row>
    <row r="65" spans="1:19" x14ac:dyDescent="0.35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  <c r="O65" s="4">
        <f t="shared" si="0"/>
        <v>45748</v>
      </c>
      <c r="P65" s="2" t="str">
        <f t="shared" si="1"/>
        <v>2025-04</v>
      </c>
      <c r="Q65" s="2">
        <f t="shared" si="2"/>
        <v>115.08462084592144</v>
      </c>
      <c r="R65" s="5">
        <f t="shared" si="3"/>
        <v>0.17493942031542561</v>
      </c>
      <c r="S65" s="2" t="str">
        <f t="shared" si="4"/>
        <v>OK</v>
      </c>
    </row>
    <row r="66" spans="1:19" x14ac:dyDescent="0.35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  <c r="O66" s="4">
        <f t="shared" ref="O66:O129" si="5">B66</f>
        <v>45658</v>
      </c>
      <c r="P66" s="2" t="str">
        <f t="shared" ref="P66:P129" si="6">TEXT(O66,"yyyy-mm")</f>
        <v>2025-01</v>
      </c>
      <c r="Q66" s="2">
        <f t="shared" ref="Q66:Q129" si="7">IFERROR(M66/F66,"")</f>
        <v>85.504379291553136</v>
      </c>
      <c r="R66" s="5">
        <f t="shared" ref="R66:R129" si="8">IFERROR(N66/M66,"")</f>
        <v>0.16509786811690688</v>
      </c>
      <c r="S66" s="2" t="str">
        <f t="shared" ref="S66:S129" si="9">IF(OR(M66="",E66="",F66="",I66=""),"Check","OK")</f>
        <v>OK</v>
      </c>
    </row>
    <row r="67" spans="1:19" x14ac:dyDescent="0.35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  <c r="O67" s="4">
        <f t="shared" si="5"/>
        <v>45689</v>
      </c>
      <c r="P67" s="2" t="str">
        <f t="shared" si="6"/>
        <v>2025-02</v>
      </c>
      <c r="Q67" s="2">
        <f t="shared" si="7"/>
        <v>90.320094458438291</v>
      </c>
      <c r="R67" s="5">
        <f t="shared" si="8"/>
        <v>0.18687190834222334</v>
      </c>
      <c r="S67" s="2" t="str">
        <f t="shared" si="9"/>
        <v>OK</v>
      </c>
    </row>
    <row r="68" spans="1:19" x14ac:dyDescent="0.35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  <c r="O68" s="4">
        <f t="shared" si="5"/>
        <v>45717</v>
      </c>
      <c r="P68" s="2" t="str">
        <f t="shared" si="6"/>
        <v>2025-03</v>
      </c>
      <c r="Q68" s="2">
        <f t="shared" si="7"/>
        <v>71.186028250934768</v>
      </c>
      <c r="R68" s="5">
        <f t="shared" si="8"/>
        <v>0.15597035730941775</v>
      </c>
      <c r="S68" s="2" t="str">
        <f t="shared" si="9"/>
        <v>OK</v>
      </c>
    </row>
    <row r="69" spans="1:19" x14ac:dyDescent="0.35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  <c r="O69" s="4">
        <f t="shared" si="5"/>
        <v>45748</v>
      </c>
      <c r="P69" s="2" t="str">
        <f t="shared" si="6"/>
        <v>2025-04</v>
      </c>
      <c r="Q69" s="2">
        <f t="shared" si="7"/>
        <v>89.259480472516884</v>
      </c>
      <c r="R69" s="5">
        <f t="shared" si="8"/>
        <v>0.17288518455822857</v>
      </c>
      <c r="S69" s="2" t="str">
        <f t="shared" si="9"/>
        <v>OK</v>
      </c>
    </row>
    <row r="70" spans="1:19" x14ac:dyDescent="0.35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  <c r="O70" s="4">
        <f t="shared" si="5"/>
        <v>45658</v>
      </c>
      <c r="P70" s="2" t="str">
        <f t="shared" si="6"/>
        <v>2025-01</v>
      </c>
      <c r="Q70" s="2">
        <f t="shared" si="7"/>
        <v>184.12437830319888</v>
      </c>
      <c r="R70" s="5">
        <f t="shared" si="8"/>
        <v>0.1196786854819097</v>
      </c>
      <c r="S70" s="2" t="str">
        <f t="shared" si="9"/>
        <v>OK</v>
      </c>
    </row>
    <row r="71" spans="1:19" x14ac:dyDescent="0.35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  <c r="O71" s="4">
        <f t="shared" si="5"/>
        <v>45689</v>
      </c>
      <c r="P71" s="2" t="str">
        <f t="shared" si="6"/>
        <v>2025-02</v>
      </c>
      <c r="Q71" s="2">
        <f t="shared" si="7"/>
        <v>169.03687367678194</v>
      </c>
      <c r="R71" s="5">
        <f t="shared" si="8"/>
        <v>0.11199468532023242</v>
      </c>
      <c r="S71" s="2" t="str">
        <f t="shared" si="9"/>
        <v>OK</v>
      </c>
    </row>
    <row r="72" spans="1:19" x14ac:dyDescent="0.35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  <c r="O72" s="4">
        <f t="shared" si="5"/>
        <v>45717</v>
      </c>
      <c r="P72" s="2" t="str">
        <f t="shared" si="6"/>
        <v>2025-03</v>
      </c>
      <c r="Q72" s="2">
        <f t="shared" si="7"/>
        <v>189.4844566238647</v>
      </c>
      <c r="R72" s="5">
        <f t="shared" si="8"/>
        <v>0.1628792100384403</v>
      </c>
      <c r="S72" s="2" t="str">
        <f t="shared" si="9"/>
        <v>OK</v>
      </c>
    </row>
    <row r="73" spans="1:19" x14ac:dyDescent="0.35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  <c r="O73" s="4">
        <f t="shared" si="5"/>
        <v>45748</v>
      </c>
      <c r="P73" s="2" t="str">
        <f t="shared" si="6"/>
        <v>2025-04</v>
      </c>
      <c r="Q73" s="2">
        <f t="shared" si="7"/>
        <v>123.02171194165906</v>
      </c>
      <c r="R73" s="5">
        <f t="shared" si="8"/>
        <v>0.21031867124595729</v>
      </c>
      <c r="S73" s="2" t="str">
        <f t="shared" si="9"/>
        <v>OK</v>
      </c>
    </row>
    <row r="74" spans="1:19" x14ac:dyDescent="0.35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  <c r="O74" s="4">
        <f t="shared" si="5"/>
        <v>45658</v>
      </c>
      <c r="P74" s="2" t="str">
        <f t="shared" si="6"/>
        <v>2025-01</v>
      </c>
      <c r="Q74" s="2">
        <f t="shared" si="7"/>
        <v>104.10094795539034</v>
      </c>
      <c r="R74" s="5">
        <f t="shared" si="8"/>
        <v>8.8389374827099423E-2</v>
      </c>
      <c r="S74" s="2" t="str">
        <f t="shared" si="9"/>
        <v>OK</v>
      </c>
    </row>
    <row r="75" spans="1:19" x14ac:dyDescent="0.35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  <c r="O75" s="4">
        <f t="shared" si="5"/>
        <v>45689</v>
      </c>
      <c r="P75" s="2" t="str">
        <f t="shared" si="6"/>
        <v>2025-02</v>
      </c>
      <c r="Q75" s="2">
        <f t="shared" si="7"/>
        <v>92.483498020818047</v>
      </c>
      <c r="R75" s="5">
        <f t="shared" si="8"/>
        <v>0.18561265497322466</v>
      </c>
      <c r="S75" s="2" t="str">
        <f t="shared" si="9"/>
        <v>OK</v>
      </c>
    </row>
    <row r="76" spans="1:19" x14ac:dyDescent="0.35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  <c r="O76" s="4">
        <f t="shared" si="5"/>
        <v>45717</v>
      </c>
      <c r="P76" s="2" t="str">
        <f t="shared" si="6"/>
        <v>2025-03</v>
      </c>
      <c r="Q76" s="2">
        <f t="shared" si="7"/>
        <v>115.79307669703203</v>
      </c>
      <c r="R76" s="5">
        <f t="shared" si="8"/>
        <v>0.14821119903815777</v>
      </c>
      <c r="S76" s="2" t="str">
        <f t="shared" si="9"/>
        <v>OK</v>
      </c>
    </row>
    <row r="77" spans="1:19" x14ac:dyDescent="0.35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  <c r="O77" s="4">
        <f t="shared" si="5"/>
        <v>45748</v>
      </c>
      <c r="P77" s="2" t="str">
        <f t="shared" si="6"/>
        <v>2025-04</v>
      </c>
      <c r="Q77" s="2">
        <f t="shared" si="7"/>
        <v>82.506102762966549</v>
      </c>
      <c r="R77" s="5">
        <f t="shared" si="8"/>
        <v>9.9887850361867495E-2</v>
      </c>
      <c r="S77" s="2" t="str">
        <f t="shared" si="9"/>
        <v>OK</v>
      </c>
    </row>
    <row r="78" spans="1:19" x14ac:dyDescent="0.35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  <c r="O78" s="4">
        <f t="shared" si="5"/>
        <v>45658</v>
      </c>
      <c r="P78" s="2" t="str">
        <f t="shared" si="6"/>
        <v>2025-01</v>
      </c>
      <c r="Q78" s="2">
        <f t="shared" si="7"/>
        <v>96.616251876313413</v>
      </c>
      <c r="R78" s="5">
        <f t="shared" si="8"/>
        <v>0.13519993794214802</v>
      </c>
      <c r="S78" s="2" t="str">
        <f t="shared" si="9"/>
        <v>OK</v>
      </c>
    </row>
    <row r="79" spans="1:19" x14ac:dyDescent="0.35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  <c r="O79" s="4">
        <f t="shared" si="5"/>
        <v>45689</v>
      </c>
      <c r="P79" s="2" t="str">
        <f t="shared" si="6"/>
        <v>2025-02</v>
      </c>
      <c r="Q79" s="2">
        <f t="shared" si="7"/>
        <v>115.91959074136196</v>
      </c>
      <c r="R79" s="5">
        <f t="shared" si="8"/>
        <v>0.15802465473788208</v>
      </c>
      <c r="S79" s="2" t="str">
        <f t="shared" si="9"/>
        <v>OK</v>
      </c>
    </row>
    <row r="80" spans="1:19" x14ac:dyDescent="0.35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  <c r="O80" s="4">
        <f t="shared" si="5"/>
        <v>45717</v>
      </c>
      <c r="P80" s="2" t="str">
        <f t="shared" si="6"/>
        <v>2025-03</v>
      </c>
      <c r="Q80" s="2">
        <f t="shared" si="7"/>
        <v>104.0056452476573</v>
      </c>
      <c r="R80" s="5">
        <f t="shared" si="8"/>
        <v>0.19397300761799599</v>
      </c>
      <c r="S80" s="2" t="str">
        <f t="shared" si="9"/>
        <v>OK</v>
      </c>
    </row>
    <row r="81" spans="1:19" x14ac:dyDescent="0.35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  <c r="O81" s="4">
        <f t="shared" si="5"/>
        <v>45748</v>
      </c>
      <c r="P81" s="2" t="str">
        <f t="shared" si="6"/>
        <v>2025-04</v>
      </c>
      <c r="Q81" s="2">
        <f t="shared" si="7"/>
        <v>106.55529628389688</v>
      </c>
      <c r="R81" s="5">
        <f t="shared" si="8"/>
        <v>0.14745014203972864</v>
      </c>
      <c r="S81" s="2" t="str">
        <f t="shared" si="9"/>
        <v>OK</v>
      </c>
    </row>
    <row r="82" spans="1:19" x14ac:dyDescent="0.35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  <c r="O82" s="4">
        <f t="shared" si="5"/>
        <v>45658</v>
      </c>
      <c r="P82" s="2" t="str">
        <f t="shared" si="6"/>
        <v>2025-01</v>
      </c>
      <c r="Q82" s="2">
        <f t="shared" si="7"/>
        <v>114.8557449168207</v>
      </c>
      <c r="R82" s="5">
        <f t="shared" si="8"/>
        <v>0.13758903356678645</v>
      </c>
      <c r="S82" s="2" t="str">
        <f t="shared" si="9"/>
        <v>OK</v>
      </c>
    </row>
    <row r="83" spans="1:19" x14ac:dyDescent="0.35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  <c r="O83" s="4">
        <f t="shared" si="5"/>
        <v>45689</v>
      </c>
      <c r="P83" s="2" t="str">
        <f t="shared" si="6"/>
        <v>2025-02</v>
      </c>
      <c r="Q83" s="2">
        <f t="shared" si="7"/>
        <v>153.27072792630869</v>
      </c>
      <c r="R83" s="5">
        <f t="shared" si="8"/>
        <v>0.16170850881683432</v>
      </c>
      <c r="S83" s="2" t="str">
        <f t="shared" si="9"/>
        <v>OK</v>
      </c>
    </row>
    <row r="84" spans="1:19" x14ac:dyDescent="0.35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  <c r="O84" s="4">
        <f t="shared" si="5"/>
        <v>45717</v>
      </c>
      <c r="P84" s="2" t="str">
        <f t="shared" si="6"/>
        <v>2025-03</v>
      </c>
      <c r="Q84" s="2">
        <f t="shared" si="7"/>
        <v>156.59816106804479</v>
      </c>
      <c r="R84" s="5">
        <f t="shared" si="8"/>
        <v>0.21424825573159387</v>
      </c>
      <c r="S84" s="2" t="str">
        <f t="shared" si="9"/>
        <v>OK</v>
      </c>
    </row>
    <row r="85" spans="1:19" x14ac:dyDescent="0.35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  <c r="O85" s="4">
        <f t="shared" si="5"/>
        <v>45748</v>
      </c>
      <c r="P85" s="2" t="str">
        <f t="shared" si="6"/>
        <v>2025-04</v>
      </c>
      <c r="Q85" s="2">
        <f t="shared" si="7"/>
        <v>159.90468670974994</v>
      </c>
      <c r="R85" s="5">
        <f t="shared" si="8"/>
        <v>0.18416558838664743</v>
      </c>
      <c r="S85" s="2" t="str">
        <f t="shared" si="9"/>
        <v>OK</v>
      </c>
    </row>
    <row r="86" spans="1:19" x14ac:dyDescent="0.35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  <c r="O86" s="4">
        <f t="shared" si="5"/>
        <v>45658</v>
      </c>
      <c r="P86" s="2" t="str">
        <f t="shared" si="6"/>
        <v>2025-01</v>
      </c>
      <c r="Q86" s="2">
        <f t="shared" si="7"/>
        <v>185.8415690714979</v>
      </c>
      <c r="R86" s="5">
        <f t="shared" si="8"/>
        <v>0.13974045755361311</v>
      </c>
      <c r="S86" s="2" t="str">
        <f t="shared" si="9"/>
        <v>OK</v>
      </c>
    </row>
    <row r="87" spans="1:19" x14ac:dyDescent="0.35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  <c r="O87" s="4">
        <f t="shared" si="5"/>
        <v>45689</v>
      </c>
      <c r="P87" s="2" t="str">
        <f t="shared" si="6"/>
        <v>2025-02</v>
      </c>
      <c r="Q87" s="2">
        <f t="shared" si="7"/>
        <v>152.78889110889111</v>
      </c>
      <c r="R87" s="5">
        <f t="shared" si="8"/>
        <v>0.14429619512483452</v>
      </c>
      <c r="S87" s="2" t="str">
        <f t="shared" si="9"/>
        <v>OK</v>
      </c>
    </row>
    <row r="88" spans="1:19" x14ac:dyDescent="0.35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  <c r="O88" s="4">
        <f t="shared" si="5"/>
        <v>45717</v>
      </c>
      <c r="P88" s="2" t="str">
        <f t="shared" si="6"/>
        <v>2025-03</v>
      </c>
      <c r="Q88" s="2">
        <f t="shared" si="7"/>
        <v>162.24823653643082</v>
      </c>
      <c r="R88" s="5">
        <f t="shared" si="8"/>
        <v>0.21347249524696146</v>
      </c>
      <c r="S88" s="2" t="str">
        <f t="shared" si="9"/>
        <v>OK</v>
      </c>
    </row>
    <row r="89" spans="1:19" x14ac:dyDescent="0.35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  <c r="O89" s="4">
        <f t="shared" si="5"/>
        <v>45748</v>
      </c>
      <c r="P89" s="2" t="str">
        <f t="shared" si="6"/>
        <v>2025-04</v>
      </c>
      <c r="Q89" s="2">
        <f t="shared" si="7"/>
        <v>357.70787301587302</v>
      </c>
      <c r="R89" s="5">
        <f t="shared" si="8"/>
        <v>0.1997811817357748</v>
      </c>
      <c r="S89" s="2" t="str">
        <f t="shared" si="9"/>
        <v>OK</v>
      </c>
    </row>
    <row r="90" spans="1:19" x14ac:dyDescent="0.35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  <c r="O90" s="4">
        <f t="shared" si="5"/>
        <v>45658</v>
      </c>
      <c r="P90" s="2" t="str">
        <f t="shared" si="6"/>
        <v>2025-01</v>
      </c>
      <c r="Q90" s="2">
        <f t="shared" si="7"/>
        <v>101.25476366742596</v>
      </c>
      <c r="R90" s="5">
        <f t="shared" si="8"/>
        <v>0.14884878584834432</v>
      </c>
      <c r="S90" s="2" t="str">
        <f t="shared" si="9"/>
        <v>OK</v>
      </c>
    </row>
    <row r="91" spans="1:19" x14ac:dyDescent="0.35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  <c r="O91" s="4">
        <f t="shared" si="5"/>
        <v>45689</v>
      </c>
      <c r="P91" s="2" t="str">
        <f t="shared" si="6"/>
        <v>2025-02</v>
      </c>
      <c r="Q91" s="2">
        <f t="shared" si="7"/>
        <v>116.14294444444445</v>
      </c>
      <c r="R91" s="5">
        <f t="shared" si="8"/>
        <v>0.16865033334561066</v>
      </c>
      <c r="S91" s="2" t="str">
        <f t="shared" si="9"/>
        <v>OK</v>
      </c>
    </row>
    <row r="92" spans="1:19" x14ac:dyDescent="0.35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  <c r="O92" s="4">
        <f t="shared" si="5"/>
        <v>45717</v>
      </c>
      <c r="P92" s="2" t="str">
        <f t="shared" si="6"/>
        <v>2025-03</v>
      </c>
      <c r="Q92" s="2">
        <f t="shared" si="7"/>
        <v>123.55587508350033</v>
      </c>
      <c r="R92" s="5">
        <f t="shared" si="8"/>
        <v>0.17488136623109432</v>
      </c>
      <c r="S92" s="2" t="str">
        <f t="shared" si="9"/>
        <v>OK</v>
      </c>
    </row>
    <row r="93" spans="1:19" x14ac:dyDescent="0.35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  <c r="O93" s="4">
        <f t="shared" si="5"/>
        <v>45748</v>
      </c>
      <c r="P93" s="2" t="str">
        <f t="shared" si="6"/>
        <v>2025-04</v>
      </c>
      <c r="Q93" s="2">
        <f t="shared" si="7"/>
        <v>158.41859497433126</v>
      </c>
      <c r="R93" s="5">
        <f t="shared" si="8"/>
        <v>0.12609063555451358</v>
      </c>
      <c r="S93" s="2" t="str">
        <f t="shared" si="9"/>
        <v>OK</v>
      </c>
    </row>
    <row r="94" spans="1:19" x14ac:dyDescent="0.35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  <c r="O94" s="4">
        <f t="shared" si="5"/>
        <v>45658</v>
      </c>
      <c r="P94" s="2" t="str">
        <f t="shared" si="6"/>
        <v>2025-01</v>
      </c>
      <c r="Q94" s="2">
        <f t="shared" si="7"/>
        <v>129.94843202483921</v>
      </c>
      <c r="R94" s="5">
        <f t="shared" si="8"/>
        <v>0.14101197281320868</v>
      </c>
      <c r="S94" s="2" t="str">
        <f t="shared" si="9"/>
        <v>OK</v>
      </c>
    </row>
    <row r="95" spans="1:19" x14ac:dyDescent="0.35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  <c r="O95" s="4">
        <f t="shared" si="5"/>
        <v>45689</v>
      </c>
      <c r="P95" s="2" t="str">
        <f t="shared" si="6"/>
        <v>2025-02</v>
      </c>
      <c r="Q95" s="2">
        <f t="shared" si="7"/>
        <v>116.33063918480779</v>
      </c>
      <c r="R95" s="5">
        <f t="shared" si="8"/>
        <v>0.20110489611745494</v>
      </c>
      <c r="S95" s="2" t="str">
        <f t="shared" si="9"/>
        <v>OK</v>
      </c>
    </row>
    <row r="96" spans="1:19" x14ac:dyDescent="0.35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  <c r="O96" s="4">
        <f t="shared" si="5"/>
        <v>45717</v>
      </c>
      <c r="P96" s="2" t="str">
        <f t="shared" si="6"/>
        <v>2025-03</v>
      </c>
      <c r="Q96" s="2">
        <f t="shared" si="7"/>
        <v>105.17569887076536</v>
      </c>
      <c r="R96" s="5">
        <f t="shared" si="8"/>
        <v>0.14666184678581454</v>
      </c>
      <c r="S96" s="2" t="str">
        <f t="shared" si="9"/>
        <v>OK</v>
      </c>
    </row>
    <row r="97" spans="1:19" x14ac:dyDescent="0.35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  <c r="O97" s="4">
        <f t="shared" si="5"/>
        <v>45748</v>
      </c>
      <c r="P97" s="2" t="str">
        <f t="shared" si="6"/>
        <v>2025-04</v>
      </c>
      <c r="Q97" s="2">
        <f t="shared" si="7"/>
        <v>100.3629057289087</v>
      </c>
      <c r="R97" s="5">
        <f t="shared" si="8"/>
        <v>0.22274266944599205</v>
      </c>
      <c r="S97" s="2" t="str">
        <f t="shared" si="9"/>
        <v>OK</v>
      </c>
    </row>
    <row r="98" spans="1:19" x14ac:dyDescent="0.35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  <c r="O98" s="4">
        <f t="shared" si="5"/>
        <v>45658</v>
      </c>
      <c r="P98" s="2" t="str">
        <f t="shared" si="6"/>
        <v>2025-01</v>
      </c>
      <c r="Q98" s="2">
        <f t="shared" si="7"/>
        <v>108.08783547075383</v>
      </c>
      <c r="R98" s="5">
        <f t="shared" si="8"/>
        <v>0.19554735442777124</v>
      </c>
      <c r="S98" s="2" t="str">
        <f t="shared" si="9"/>
        <v>OK</v>
      </c>
    </row>
    <row r="99" spans="1:19" x14ac:dyDescent="0.35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  <c r="O99" s="4">
        <f t="shared" si="5"/>
        <v>45689</v>
      </c>
      <c r="P99" s="2" t="str">
        <f t="shared" si="6"/>
        <v>2025-02</v>
      </c>
      <c r="Q99" s="2">
        <f t="shared" si="7"/>
        <v>142.81735922330097</v>
      </c>
      <c r="R99" s="5">
        <f t="shared" si="8"/>
        <v>0.11406510916107938</v>
      </c>
      <c r="S99" s="2" t="str">
        <f t="shared" si="9"/>
        <v>OK</v>
      </c>
    </row>
    <row r="100" spans="1:19" x14ac:dyDescent="0.35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  <c r="O100" s="4">
        <f t="shared" si="5"/>
        <v>45717</v>
      </c>
      <c r="P100" s="2" t="str">
        <f t="shared" si="6"/>
        <v>2025-03</v>
      </c>
      <c r="Q100" s="2">
        <f t="shared" si="7"/>
        <v>128.56012945670628</v>
      </c>
      <c r="R100" s="5">
        <f t="shared" si="8"/>
        <v>0.17695438340151623</v>
      </c>
      <c r="S100" s="2" t="str">
        <f t="shared" si="9"/>
        <v>OK</v>
      </c>
    </row>
    <row r="101" spans="1:19" x14ac:dyDescent="0.35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  <c r="O101" s="4">
        <f t="shared" si="5"/>
        <v>45748</v>
      </c>
      <c r="P101" s="2" t="str">
        <f t="shared" si="6"/>
        <v>2025-04</v>
      </c>
      <c r="Q101" s="2">
        <f t="shared" si="7"/>
        <v>127.85034652527931</v>
      </c>
      <c r="R101" s="5">
        <f t="shared" si="8"/>
        <v>0.1564457521759309</v>
      </c>
      <c r="S101" s="2" t="str">
        <f t="shared" si="9"/>
        <v>OK</v>
      </c>
    </row>
    <row r="102" spans="1:19" x14ac:dyDescent="0.35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  <c r="O102" s="4">
        <f t="shared" si="5"/>
        <v>45658</v>
      </c>
      <c r="P102" s="2" t="str">
        <f t="shared" si="6"/>
        <v>2025-01</v>
      </c>
      <c r="Q102" s="2">
        <f t="shared" si="7"/>
        <v>174.40454420647995</v>
      </c>
      <c r="R102" s="5">
        <f t="shared" si="8"/>
        <v>0.13120859105828594</v>
      </c>
      <c r="S102" s="2" t="str">
        <f t="shared" si="9"/>
        <v>OK</v>
      </c>
    </row>
    <row r="103" spans="1:19" x14ac:dyDescent="0.35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  <c r="O103" s="4">
        <f t="shared" si="5"/>
        <v>45689</v>
      </c>
      <c r="P103" s="2" t="str">
        <f t="shared" si="6"/>
        <v>2025-02</v>
      </c>
      <c r="Q103" s="2">
        <f t="shared" si="7"/>
        <v>134.1474822776126</v>
      </c>
      <c r="R103" s="5">
        <f t="shared" si="8"/>
        <v>0.14745069498512975</v>
      </c>
      <c r="S103" s="2" t="str">
        <f t="shared" si="9"/>
        <v>OK</v>
      </c>
    </row>
    <row r="104" spans="1:19" x14ac:dyDescent="0.35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  <c r="O104" s="4">
        <f t="shared" si="5"/>
        <v>45717</v>
      </c>
      <c r="P104" s="2" t="str">
        <f t="shared" si="6"/>
        <v>2025-03</v>
      </c>
      <c r="Q104" s="2">
        <f t="shared" si="7"/>
        <v>108.32884074941452</v>
      </c>
      <c r="R104" s="5">
        <f t="shared" si="8"/>
        <v>0.15443678190365595</v>
      </c>
      <c r="S104" s="2" t="str">
        <f t="shared" si="9"/>
        <v>OK</v>
      </c>
    </row>
    <row r="105" spans="1:19" x14ac:dyDescent="0.35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  <c r="O105" s="4">
        <f t="shared" si="5"/>
        <v>45748</v>
      </c>
      <c r="P105" s="2" t="str">
        <f t="shared" si="6"/>
        <v>2025-04</v>
      </c>
      <c r="Q105" s="2">
        <f t="shared" si="7"/>
        <v>259.11932062966031</v>
      </c>
      <c r="R105" s="5">
        <f t="shared" si="8"/>
        <v>0.19293744389814174</v>
      </c>
      <c r="S105" s="2" t="str">
        <f t="shared" si="9"/>
        <v>OK</v>
      </c>
    </row>
    <row r="106" spans="1:19" x14ac:dyDescent="0.35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  <c r="O106" s="4">
        <f t="shared" si="5"/>
        <v>45658</v>
      </c>
      <c r="P106" s="2" t="str">
        <f t="shared" si="6"/>
        <v>2025-01</v>
      </c>
      <c r="Q106" s="2">
        <f t="shared" si="7"/>
        <v>98.620450230539731</v>
      </c>
      <c r="R106" s="5">
        <f t="shared" si="8"/>
        <v>0.1667869546133588</v>
      </c>
      <c r="S106" s="2" t="str">
        <f t="shared" si="9"/>
        <v>OK</v>
      </c>
    </row>
    <row r="107" spans="1:19" x14ac:dyDescent="0.35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  <c r="O107" s="4">
        <f t="shared" si="5"/>
        <v>45689</v>
      </c>
      <c r="P107" s="2" t="str">
        <f t="shared" si="6"/>
        <v>2025-02</v>
      </c>
      <c r="Q107" s="2">
        <f t="shared" si="7"/>
        <v>89.68965442270283</v>
      </c>
      <c r="R107" s="5">
        <f t="shared" si="8"/>
        <v>0.20109865312344744</v>
      </c>
      <c r="S107" s="2" t="str">
        <f t="shared" si="9"/>
        <v>OK</v>
      </c>
    </row>
    <row r="108" spans="1:19" x14ac:dyDescent="0.35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  <c r="O108" s="4">
        <f t="shared" si="5"/>
        <v>45717</v>
      </c>
      <c r="P108" s="2" t="str">
        <f t="shared" si="6"/>
        <v>2025-03</v>
      </c>
      <c r="Q108" s="2">
        <f t="shared" si="7"/>
        <v>113.72337528604119</v>
      </c>
      <c r="R108" s="5">
        <f t="shared" si="8"/>
        <v>0.18008365525845915</v>
      </c>
      <c r="S108" s="2" t="str">
        <f t="shared" si="9"/>
        <v>OK</v>
      </c>
    </row>
    <row r="109" spans="1:19" x14ac:dyDescent="0.35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  <c r="O109" s="4">
        <f t="shared" si="5"/>
        <v>45748</v>
      </c>
      <c r="P109" s="2" t="str">
        <f t="shared" si="6"/>
        <v>2025-04</v>
      </c>
      <c r="Q109" s="2">
        <f t="shared" si="7"/>
        <v>93.653431827775421</v>
      </c>
      <c r="R109" s="5">
        <f t="shared" si="8"/>
        <v>0.19170419174160189</v>
      </c>
      <c r="S109" s="2" t="str">
        <f t="shared" si="9"/>
        <v>OK</v>
      </c>
    </row>
    <row r="110" spans="1:19" x14ac:dyDescent="0.35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  <c r="O110" s="4">
        <f t="shared" si="5"/>
        <v>45658</v>
      </c>
      <c r="P110" s="2" t="str">
        <f t="shared" si="6"/>
        <v>2025-01</v>
      </c>
      <c r="Q110" s="2">
        <f t="shared" si="7"/>
        <v>101.71733189964158</v>
      </c>
      <c r="R110" s="5">
        <f t="shared" si="8"/>
        <v>0.10048828971379946</v>
      </c>
      <c r="S110" s="2" t="str">
        <f t="shared" si="9"/>
        <v>OK</v>
      </c>
    </row>
    <row r="111" spans="1:19" x14ac:dyDescent="0.35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  <c r="O111" s="4">
        <f t="shared" si="5"/>
        <v>45689</v>
      </c>
      <c r="P111" s="2" t="str">
        <f t="shared" si="6"/>
        <v>2025-02</v>
      </c>
      <c r="Q111" s="2">
        <f t="shared" si="7"/>
        <v>120.91070271254324</v>
      </c>
      <c r="R111" s="5">
        <f t="shared" si="8"/>
        <v>0.14799248900671882</v>
      </c>
      <c r="S111" s="2" t="str">
        <f t="shared" si="9"/>
        <v>OK</v>
      </c>
    </row>
    <row r="112" spans="1:19" x14ac:dyDescent="0.35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  <c r="O112" s="4">
        <f t="shared" si="5"/>
        <v>45717</v>
      </c>
      <c r="P112" s="2" t="str">
        <f t="shared" si="6"/>
        <v>2025-03</v>
      </c>
      <c r="Q112" s="2">
        <f t="shared" si="7"/>
        <v>111.41298100597959</v>
      </c>
      <c r="R112" s="5">
        <f t="shared" si="8"/>
        <v>0.16691465893587254</v>
      </c>
      <c r="S112" s="2" t="str">
        <f t="shared" si="9"/>
        <v>OK</v>
      </c>
    </row>
    <row r="113" spans="1:19" x14ac:dyDescent="0.35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  <c r="O113" s="4">
        <f t="shared" si="5"/>
        <v>45748</v>
      </c>
      <c r="P113" s="2" t="str">
        <f t="shared" si="6"/>
        <v>2025-04</v>
      </c>
      <c r="Q113" s="2">
        <f t="shared" si="7"/>
        <v>175.63651489047501</v>
      </c>
      <c r="R113" s="5">
        <f t="shared" si="8"/>
        <v>0.18177571662416264</v>
      </c>
      <c r="S113" s="2" t="str">
        <f t="shared" si="9"/>
        <v>OK</v>
      </c>
    </row>
    <row r="114" spans="1:19" x14ac:dyDescent="0.35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  <c r="O114" s="4">
        <f t="shared" si="5"/>
        <v>45658</v>
      </c>
      <c r="P114" s="2" t="str">
        <f t="shared" si="6"/>
        <v>2025-01</v>
      </c>
      <c r="Q114" s="2">
        <f t="shared" si="7"/>
        <v>86.816637296453266</v>
      </c>
      <c r="R114" s="5">
        <f t="shared" si="8"/>
        <v>0.1542198394993245</v>
      </c>
      <c r="S114" s="2" t="str">
        <f t="shared" si="9"/>
        <v>OK</v>
      </c>
    </row>
    <row r="115" spans="1:19" x14ac:dyDescent="0.35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  <c r="O115" s="4">
        <f t="shared" si="5"/>
        <v>45689</v>
      </c>
      <c r="P115" s="2" t="str">
        <f t="shared" si="6"/>
        <v>2025-02</v>
      </c>
      <c r="Q115" s="2">
        <f t="shared" si="7"/>
        <v>92.041313099378229</v>
      </c>
      <c r="R115" s="5">
        <f t="shared" si="8"/>
        <v>0.17144285027266826</v>
      </c>
      <c r="S115" s="2" t="str">
        <f t="shared" si="9"/>
        <v>OK</v>
      </c>
    </row>
    <row r="116" spans="1:19" x14ac:dyDescent="0.35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  <c r="O116" s="4">
        <f t="shared" si="5"/>
        <v>45717</v>
      </c>
      <c r="P116" s="2" t="str">
        <f t="shared" si="6"/>
        <v>2025-03</v>
      </c>
      <c r="Q116" s="2">
        <f t="shared" si="7"/>
        <v>75.586764227642277</v>
      </c>
      <c r="R116" s="5">
        <f t="shared" si="8"/>
        <v>0.18386713723269829</v>
      </c>
      <c r="S116" s="2" t="str">
        <f t="shared" si="9"/>
        <v>OK</v>
      </c>
    </row>
    <row r="117" spans="1:19" x14ac:dyDescent="0.35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  <c r="O117" s="4">
        <f t="shared" si="5"/>
        <v>45748</v>
      </c>
      <c r="P117" s="2" t="str">
        <f t="shared" si="6"/>
        <v>2025-04</v>
      </c>
      <c r="Q117" s="2">
        <f t="shared" si="7"/>
        <v>77.638100335171373</v>
      </c>
      <c r="R117" s="5">
        <f t="shared" si="8"/>
        <v>0.16129221024456239</v>
      </c>
      <c r="S117" s="2" t="str">
        <f t="shared" si="9"/>
        <v>OK</v>
      </c>
    </row>
    <row r="118" spans="1:19" x14ac:dyDescent="0.35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  <c r="O118" s="4">
        <f t="shared" si="5"/>
        <v>45658</v>
      </c>
      <c r="P118" s="2" t="str">
        <f t="shared" si="6"/>
        <v>2025-01</v>
      </c>
      <c r="Q118" s="2">
        <f t="shared" si="7"/>
        <v>91.413173507224144</v>
      </c>
      <c r="R118" s="5">
        <f t="shared" si="8"/>
        <v>0.13245501459467163</v>
      </c>
      <c r="S118" s="2" t="str">
        <f t="shared" si="9"/>
        <v>OK</v>
      </c>
    </row>
    <row r="119" spans="1:19" x14ac:dyDescent="0.35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  <c r="O119" s="4">
        <f t="shared" si="5"/>
        <v>45689</v>
      </c>
      <c r="P119" s="2" t="str">
        <f t="shared" si="6"/>
        <v>2025-02</v>
      </c>
      <c r="Q119" s="2">
        <f t="shared" si="7"/>
        <v>97.287057149632446</v>
      </c>
      <c r="R119" s="5">
        <f t="shared" si="8"/>
        <v>0.12069906385109601</v>
      </c>
      <c r="S119" s="2" t="str">
        <f t="shared" si="9"/>
        <v>OK</v>
      </c>
    </row>
    <row r="120" spans="1:19" x14ac:dyDescent="0.35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  <c r="O120" s="4">
        <f t="shared" si="5"/>
        <v>45717</v>
      </c>
      <c r="P120" s="2" t="str">
        <f t="shared" si="6"/>
        <v>2025-03</v>
      </c>
      <c r="Q120" s="2">
        <f t="shared" si="7"/>
        <v>80.382673872180447</v>
      </c>
      <c r="R120" s="5">
        <f t="shared" si="8"/>
        <v>0.19908468554990688</v>
      </c>
      <c r="S120" s="2" t="str">
        <f t="shared" si="9"/>
        <v>OK</v>
      </c>
    </row>
    <row r="121" spans="1:19" x14ac:dyDescent="0.35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  <c r="O121" s="4">
        <f t="shared" si="5"/>
        <v>45748</v>
      </c>
      <c r="P121" s="2" t="str">
        <f t="shared" si="6"/>
        <v>2025-04</v>
      </c>
      <c r="Q121" s="2">
        <f t="shared" si="7"/>
        <v>94.099307830092116</v>
      </c>
      <c r="R121" s="5">
        <f t="shared" si="8"/>
        <v>0.12011487352229026</v>
      </c>
      <c r="S121" s="2" t="str">
        <f t="shared" si="9"/>
        <v>OK</v>
      </c>
    </row>
    <row r="122" spans="1:19" x14ac:dyDescent="0.35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  <c r="O122" s="4">
        <f t="shared" si="5"/>
        <v>45658</v>
      </c>
      <c r="P122" s="2" t="str">
        <f t="shared" si="6"/>
        <v>2025-01</v>
      </c>
      <c r="Q122" s="2">
        <f t="shared" si="7"/>
        <v>132.23067998961847</v>
      </c>
      <c r="R122" s="5">
        <f t="shared" si="8"/>
        <v>0.16829227941064623</v>
      </c>
      <c r="S122" s="2" t="str">
        <f t="shared" si="9"/>
        <v>OK</v>
      </c>
    </row>
    <row r="123" spans="1:19" x14ac:dyDescent="0.35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  <c r="O123" s="4">
        <f t="shared" si="5"/>
        <v>45689</v>
      </c>
      <c r="P123" s="2" t="str">
        <f t="shared" si="6"/>
        <v>2025-02</v>
      </c>
      <c r="Q123" s="2">
        <f t="shared" si="7"/>
        <v>177.12969409853815</v>
      </c>
      <c r="R123" s="5">
        <f t="shared" si="8"/>
        <v>0.185608616764083</v>
      </c>
      <c r="S123" s="2" t="str">
        <f t="shared" si="9"/>
        <v>OK</v>
      </c>
    </row>
    <row r="124" spans="1:19" x14ac:dyDescent="0.35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  <c r="O124" s="4">
        <f t="shared" si="5"/>
        <v>45717</v>
      </c>
      <c r="P124" s="2" t="str">
        <f t="shared" si="6"/>
        <v>2025-03</v>
      </c>
      <c r="Q124" s="2">
        <f t="shared" si="7"/>
        <v>126.04278996156455</v>
      </c>
      <c r="R124" s="5">
        <f t="shared" si="8"/>
        <v>0.13710123169451441</v>
      </c>
      <c r="S124" s="2" t="str">
        <f t="shared" si="9"/>
        <v>OK</v>
      </c>
    </row>
    <row r="125" spans="1:19" x14ac:dyDescent="0.35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  <c r="O125" s="4">
        <f t="shared" si="5"/>
        <v>45748</v>
      </c>
      <c r="P125" s="2" t="str">
        <f t="shared" si="6"/>
        <v>2025-04</v>
      </c>
      <c r="Q125" s="2">
        <f t="shared" si="7"/>
        <v>231.51910807974815</v>
      </c>
      <c r="R125" s="5">
        <f t="shared" si="8"/>
        <v>0.13196943985685858</v>
      </c>
      <c r="S125" s="2" t="str">
        <f t="shared" si="9"/>
        <v>OK</v>
      </c>
    </row>
    <row r="126" spans="1:19" x14ac:dyDescent="0.35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  <c r="O126" s="4">
        <f t="shared" si="5"/>
        <v>45658</v>
      </c>
      <c r="P126" s="2" t="str">
        <f t="shared" si="6"/>
        <v>2025-01</v>
      </c>
      <c r="Q126" s="2">
        <f t="shared" si="7"/>
        <v>87.970774336283185</v>
      </c>
      <c r="R126" s="5">
        <f t="shared" si="8"/>
        <v>8.7291278670553432E-2</v>
      </c>
      <c r="S126" s="2" t="str">
        <f t="shared" si="9"/>
        <v>OK</v>
      </c>
    </row>
    <row r="127" spans="1:19" x14ac:dyDescent="0.35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  <c r="O127" s="4">
        <f t="shared" si="5"/>
        <v>45689</v>
      </c>
      <c r="P127" s="2" t="str">
        <f t="shared" si="6"/>
        <v>2025-02</v>
      </c>
      <c r="Q127" s="2">
        <f t="shared" si="7"/>
        <v>76.059919646081624</v>
      </c>
      <c r="R127" s="5">
        <f t="shared" si="8"/>
        <v>0.20177543396074879</v>
      </c>
      <c r="S127" s="2" t="str">
        <f t="shared" si="9"/>
        <v>OK</v>
      </c>
    </row>
    <row r="128" spans="1:19" x14ac:dyDescent="0.35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  <c r="O128" s="4">
        <f t="shared" si="5"/>
        <v>45717</v>
      </c>
      <c r="P128" s="2" t="str">
        <f t="shared" si="6"/>
        <v>2025-03</v>
      </c>
      <c r="Q128" s="2">
        <f t="shared" si="7"/>
        <v>87.963016503029039</v>
      </c>
      <c r="R128" s="5">
        <f t="shared" si="8"/>
        <v>0.12746804067341669</v>
      </c>
      <c r="S128" s="2" t="str">
        <f t="shared" si="9"/>
        <v>OK</v>
      </c>
    </row>
    <row r="129" spans="1:19" x14ac:dyDescent="0.35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  <c r="O129" s="4">
        <f t="shared" si="5"/>
        <v>45748</v>
      </c>
      <c r="P129" s="2" t="str">
        <f t="shared" si="6"/>
        <v>2025-04</v>
      </c>
      <c r="Q129" s="2">
        <f t="shared" si="7"/>
        <v>84.801763775696386</v>
      </c>
      <c r="R129" s="5">
        <f t="shared" si="8"/>
        <v>0.19566449541443634</v>
      </c>
      <c r="S129" s="2" t="str">
        <f t="shared" si="9"/>
        <v>OK</v>
      </c>
    </row>
    <row r="130" spans="1:19" x14ac:dyDescent="0.35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  <c r="O130" s="4">
        <f t="shared" ref="O130:O193" si="10">B130</f>
        <v>45658</v>
      </c>
      <c r="P130" s="2" t="str">
        <f t="shared" ref="P130:P193" si="11">TEXT(O130,"yyyy-mm")</f>
        <v>2025-01</v>
      </c>
      <c r="Q130" s="2">
        <f t="shared" ref="Q130:Q193" si="12">IFERROR(M130/F130,"")</f>
        <v>79.96028442267847</v>
      </c>
      <c r="R130" s="5">
        <f t="shared" ref="R130:R193" si="13">IFERROR(N130/M130,"")</f>
        <v>0.17553818333479973</v>
      </c>
      <c r="S130" s="2" t="str">
        <f t="shared" ref="S130:S193" si="14">IF(OR(M130="",E130="",F130="",I130=""),"Check","OK")</f>
        <v>OK</v>
      </c>
    </row>
    <row r="131" spans="1:19" x14ac:dyDescent="0.35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  <c r="O131" s="4">
        <f t="shared" si="10"/>
        <v>45689</v>
      </c>
      <c r="P131" s="2" t="str">
        <f t="shared" si="11"/>
        <v>2025-02</v>
      </c>
      <c r="Q131" s="2">
        <f t="shared" si="12"/>
        <v>75.672928463571154</v>
      </c>
      <c r="R131" s="5">
        <f t="shared" si="13"/>
        <v>0.1432663655098613</v>
      </c>
      <c r="S131" s="2" t="str">
        <f t="shared" si="14"/>
        <v>OK</v>
      </c>
    </row>
    <row r="132" spans="1:19" x14ac:dyDescent="0.35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  <c r="O132" s="4">
        <f t="shared" si="10"/>
        <v>45717</v>
      </c>
      <c r="P132" s="2" t="str">
        <f t="shared" si="11"/>
        <v>2025-03</v>
      </c>
      <c r="Q132" s="2">
        <f t="shared" si="12"/>
        <v>75.396120178812765</v>
      </c>
      <c r="R132" s="5">
        <f t="shared" si="13"/>
        <v>0.16771417959699919</v>
      </c>
      <c r="S132" s="2" t="str">
        <f t="shared" si="14"/>
        <v>OK</v>
      </c>
    </row>
    <row r="133" spans="1:19" x14ac:dyDescent="0.35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  <c r="O133" s="4">
        <f t="shared" si="10"/>
        <v>45748</v>
      </c>
      <c r="P133" s="2" t="str">
        <f t="shared" si="11"/>
        <v>2025-04</v>
      </c>
      <c r="Q133" s="2">
        <f t="shared" si="12"/>
        <v>74.884894795127352</v>
      </c>
      <c r="R133" s="5">
        <f t="shared" si="13"/>
        <v>0.16184019938955904</v>
      </c>
      <c r="S133" s="2" t="str">
        <f t="shared" si="14"/>
        <v>OK</v>
      </c>
    </row>
    <row r="134" spans="1:19" x14ac:dyDescent="0.35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  <c r="O134" s="4">
        <f t="shared" si="10"/>
        <v>45658</v>
      </c>
      <c r="P134" s="2" t="str">
        <f t="shared" si="11"/>
        <v>2025-01</v>
      </c>
      <c r="Q134" s="2">
        <f t="shared" si="12"/>
        <v>173.2829871837003</v>
      </c>
      <c r="R134" s="5">
        <f t="shared" si="13"/>
        <v>0.15967731697695578</v>
      </c>
      <c r="S134" s="2" t="str">
        <f t="shared" si="14"/>
        <v>OK</v>
      </c>
    </row>
    <row r="135" spans="1:19" x14ac:dyDescent="0.35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  <c r="O135" s="4">
        <f t="shared" si="10"/>
        <v>45689</v>
      </c>
      <c r="P135" s="2" t="str">
        <f t="shared" si="11"/>
        <v>2025-02</v>
      </c>
      <c r="Q135" s="2">
        <f t="shared" si="12"/>
        <v>220.9656284454245</v>
      </c>
      <c r="R135" s="5">
        <f t="shared" si="13"/>
        <v>0.17708010333016366</v>
      </c>
      <c r="S135" s="2" t="str">
        <f t="shared" si="14"/>
        <v>OK</v>
      </c>
    </row>
    <row r="136" spans="1:19" x14ac:dyDescent="0.35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  <c r="O136" s="4">
        <f t="shared" si="10"/>
        <v>45717</v>
      </c>
      <c r="P136" s="2" t="str">
        <f t="shared" si="11"/>
        <v>2025-03</v>
      </c>
      <c r="Q136" s="2">
        <f t="shared" si="12"/>
        <v>163.97104754007739</v>
      </c>
      <c r="R136" s="5">
        <f t="shared" si="13"/>
        <v>0.13694170516593207</v>
      </c>
      <c r="S136" s="2" t="str">
        <f t="shared" si="14"/>
        <v>OK</v>
      </c>
    </row>
    <row r="137" spans="1:19" x14ac:dyDescent="0.35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  <c r="O137" s="4">
        <f t="shared" si="10"/>
        <v>45748</v>
      </c>
      <c r="P137" s="2" t="str">
        <f t="shared" si="11"/>
        <v>2025-04</v>
      </c>
      <c r="Q137" s="2">
        <f t="shared" si="12"/>
        <v>269.52417218543042</v>
      </c>
      <c r="R137" s="5">
        <f t="shared" si="13"/>
        <v>0.18140841593725818</v>
      </c>
      <c r="S137" s="2" t="str">
        <f t="shared" si="14"/>
        <v>OK</v>
      </c>
    </row>
    <row r="138" spans="1:19" x14ac:dyDescent="0.35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  <c r="O138" s="4">
        <f t="shared" si="10"/>
        <v>45658</v>
      </c>
      <c r="P138" s="2" t="str">
        <f t="shared" si="11"/>
        <v>2025-01</v>
      </c>
      <c r="Q138" s="2">
        <f t="shared" si="12"/>
        <v>80.32936485801217</v>
      </c>
      <c r="R138" s="5">
        <f t="shared" si="13"/>
        <v>0.1568750695093222</v>
      </c>
      <c r="S138" s="2" t="str">
        <f t="shared" si="14"/>
        <v>OK</v>
      </c>
    </row>
    <row r="139" spans="1:19" x14ac:dyDescent="0.35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  <c r="O139" s="4">
        <f t="shared" si="10"/>
        <v>45689</v>
      </c>
      <c r="P139" s="2" t="str">
        <f t="shared" si="11"/>
        <v>2025-02</v>
      </c>
      <c r="Q139" s="2">
        <f t="shared" si="12"/>
        <v>119.05010249839846</v>
      </c>
      <c r="R139" s="5">
        <f t="shared" si="13"/>
        <v>0.14015773536419321</v>
      </c>
      <c r="S139" s="2" t="str">
        <f t="shared" si="14"/>
        <v>OK</v>
      </c>
    </row>
    <row r="140" spans="1:19" x14ac:dyDescent="0.35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  <c r="O140" s="4">
        <f t="shared" si="10"/>
        <v>45717</v>
      </c>
      <c r="P140" s="2" t="str">
        <f t="shared" si="11"/>
        <v>2025-03</v>
      </c>
      <c r="Q140" s="2">
        <f t="shared" si="12"/>
        <v>115.95776894865526</v>
      </c>
      <c r="R140" s="5">
        <f t="shared" si="13"/>
        <v>0.21274854985514235</v>
      </c>
      <c r="S140" s="2" t="str">
        <f t="shared" si="14"/>
        <v>OK</v>
      </c>
    </row>
    <row r="141" spans="1:19" x14ac:dyDescent="0.35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  <c r="O141" s="4">
        <f t="shared" si="10"/>
        <v>45748</v>
      </c>
      <c r="P141" s="2" t="str">
        <f t="shared" si="11"/>
        <v>2025-04</v>
      </c>
      <c r="Q141" s="2">
        <f t="shared" si="12"/>
        <v>118.30918755718206</v>
      </c>
      <c r="R141" s="5">
        <f t="shared" si="13"/>
        <v>0.15154323488545243</v>
      </c>
      <c r="S141" s="2" t="str">
        <f t="shared" si="14"/>
        <v>OK</v>
      </c>
    </row>
    <row r="142" spans="1:19" x14ac:dyDescent="0.35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  <c r="O142" s="4">
        <f t="shared" si="10"/>
        <v>45658</v>
      </c>
      <c r="P142" s="2" t="str">
        <f t="shared" si="11"/>
        <v>2025-01</v>
      </c>
      <c r="Q142" s="2">
        <f t="shared" si="12"/>
        <v>111.38797728333593</v>
      </c>
      <c r="R142" s="5">
        <f t="shared" si="13"/>
        <v>0.15230282484669827</v>
      </c>
      <c r="S142" s="2" t="str">
        <f t="shared" si="14"/>
        <v>OK</v>
      </c>
    </row>
    <row r="143" spans="1:19" x14ac:dyDescent="0.35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  <c r="O143" s="4">
        <f t="shared" si="10"/>
        <v>45689</v>
      </c>
      <c r="P143" s="2" t="str">
        <f t="shared" si="11"/>
        <v>2025-02</v>
      </c>
      <c r="Q143" s="2">
        <f t="shared" si="12"/>
        <v>106.66729862768496</v>
      </c>
      <c r="R143" s="5">
        <f t="shared" si="13"/>
        <v>0.21238480785216485</v>
      </c>
      <c r="S143" s="2" t="str">
        <f t="shared" si="14"/>
        <v>OK</v>
      </c>
    </row>
    <row r="144" spans="1:19" x14ac:dyDescent="0.35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  <c r="O144" s="4">
        <f t="shared" si="10"/>
        <v>45717</v>
      </c>
      <c r="P144" s="2" t="str">
        <f t="shared" si="11"/>
        <v>2025-03</v>
      </c>
      <c r="Q144" s="2">
        <f t="shared" si="12"/>
        <v>120.92812754650133</v>
      </c>
      <c r="R144" s="5">
        <f t="shared" si="13"/>
        <v>0.11361422096894278</v>
      </c>
      <c r="S144" s="2" t="str">
        <f t="shared" si="14"/>
        <v>OK</v>
      </c>
    </row>
    <row r="145" spans="1:19" x14ac:dyDescent="0.35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  <c r="O145" s="4">
        <f t="shared" si="10"/>
        <v>45748</v>
      </c>
      <c r="P145" s="2" t="str">
        <f t="shared" si="11"/>
        <v>2025-04</v>
      </c>
      <c r="Q145" s="2">
        <f t="shared" si="12"/>
        <v>114.15643126950238</v>
      </c>
      <c r="R145" s="5">
        <f t="shared" si="13"/>
        <v>0.15565095945896934</v>
      </c>
      <c r="S145" s="2" t="str">
        <f t="shared" si="14"/>
        <v>OK</v>
      </c>
    </row>
    <row r="146" spans="1:19" x14ac:dyDescent="0.35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  <c r="O146" s="4">
        <f t="shared" si="10"/>
        <v>45658</v>
      </c>
      <c r="P146" s="2" t="str">
        <f t="shared" si="11"/>
        <v>2025-01</v>
      </c>
      <c r="Q146" s="2">
        <f t="shared" si="12"/>
        <v>133.98250695732838</v>
      </c>
      <c r="R146" s="5">
        <f t="shared" si="13"/>
        <v>0.16236624845298234</v>
      </c>
      <c r="S146" s="2" t="str">
        <f t="shared" si="14"/>
        <v>OK</v>
      </c>
    </row>
    <row r="147" spans="1:19" x14ac:dyDescent="0.35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  <c r="O147" s="4">
        <f t="shared" si="10"/>
        <v>45689</v>
      </c>
      <c r="P147" s="2" t="str">
        <f t="shared" si="11"/>
        <v>2025-02</v>
      </c>
      <c r="Q147" s="2">
        <f t="shared" si="12"/>
        <v>170.38652601522841</v>
      </c>
      <c r="R147" s="5">
        <f t="shared" si="13"/>
        <v>0.17420027727714421</v>
      </c>
      <c r="S147" s="2" t="str">
        <f t="shared" si="14"/>
        <v>OK</v>
      </c>
    </row>
    <row r="148" spans="1:19" x14ac:dyDescent="0.35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  <c r="O148" s="4">
        <f t="shared" si="10"/>
        <v>45717</v>
      </c>
      <c r="P148" s="2" t="str">
        <f t="shared" si="11"/>
        <v>2025-03</v>
      </c>
      <c r="Q148" s="2">
        <f t="shared" si="12"/>
        <v>141.24650622211786</v>
      </c>
      <c r="R148" s="5">
        <f t="shared" si="13"/>
        <v>0.15232639946944065</v>
      </c>
      <c r="S148" s="2" t="str">
        <f t="shared" si="14"/>
        <v>OK</v>
      </c>
    </row>
    <row r="149" spans="1:19" x14ac:dyDescent="0.35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  <c r="O149" s="4">
        <f t="shared" si="10"/>
        <v>45748</v>
      </c>
      <c r="P149" s="2" t="str">
        <f t="shared" si="11"/>
        <v>2025-04</v>
      </c>
      <c r="Q149" s="2">
        <f t="shared" si="12"/>
        <v>170.43726567164177</v>
      </c>
      <c r="R149" s="5">
        <f t="shared" si="13"/>
        <v>0.14244497086720789</v>
      </c>
      <c r="S149" s="2" t="str">
        <f t="shared" si="14"/>
        <v>OK</v>
      </c>
    </row>
    <row r="150" spans="1:19" x14ac:dyDescent="0.35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  <c r="O150" s="4">
        <f t="shared" si="10"/>
        <v>45658</v>
      </c>
      <c r="P150" s="2" t="str">
        <f t="shared" si="11"/>
        <v>2025-01</v>
      </c>
      <c r="Q150" s="2">
        <f t="shared" si="12"/>
        <v>115.22328954775756</v>
      </c>
      <c r="R150" s="5">
        <f t="shared" si="13"/>
        <v>0.13815226160775787</v>
      </c>
      <c r="S150" s="2" t="str">
        <f t="shared" si="14"/>
        <v>OK</v>
      </c>
    </row>
    <row r="151" spans="1:19" x14ac:dyDescent="0.35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  <c r="O151" s="4">
        <f t="shared" si="10"/>
        <v>45689</v>
      </c>
      <c r="P151" s="2" t="str">
        <f t="shared" si="11"/>
        <v>2025-02</v>
      </c>
      <c r="Q151" s="2">
        <f t="shared" si="12"/>
        <v>108.81824912227141</v>
      </c>
      <c r="R151" s="5">
        <f t="shared" si="13"/>
        <v>0.18748273787158598</v>
      </c>
      <c r="S151" s="2" t="str">
        <f t="shared" si="14"/>
        <v>OK</v>
      </c>
    </row>
    <row r="152" spans="1:19" x14ac:dyDescent="0.35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  <c r="O152" s="4">
        <f t="shared" si="10"/>
        <v>45717</v>
      </c>
      <c r="P152" s="2" t="str">
        <f t="shared" si="11"/>
        <v>2025-03</v>
      </c>
      <c r="Q152" s="2">
        <f t="shared" si="12"/>
        <v>125.5394864864865</v>
      </c>
      <c r="R152" s="5">
        <f t="shared" si="13"/>
        <v>0.21848779067610397</v>
      </c>
      <c r="S152" s="2" t="str">
        <f t="shared" si="14"/>
        <v>OK</v>
      </c>
    </row>
    <row r="153" spans="1:19" x14ac:dyDescent="0.35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  <c r="O153" s="4">
        <f t="shared" si="10"/>
        <v>45748</v>
      </c>
      <c r="P153" s="2" t="str">
        <f t="shared" si="11"/>
        <v>2025-04</v>
      </c>
      <c r="Q153" s="2">
        <f t="shared" si="12"/>
        <v>122.79614109287769</v>
      </c>
      <c r="R153" s="5">
        <f t="shared" si="13"/>
        <v>0.1690419091743989</v>
      </c>
      <c r="S153" s="2" t="str">
        <f t="shared" si="14"/>
        <v>OK</v>
      </c>
    </row>
    <row r="154" spans="1:19" x14ac:dyDescent="0.35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  <c r="O154" s="4">
        <f t="shared" si="10"/>
        <v>45658</v>
      </c>
      <c r="P154" s="2" t="str">
        <f t="shared" si="11"/>
        <v>2025-01</v>
      </c>
      <c r="Q154" s="2">
        <f t="shared" si="12"/>
        <v>81.14825821790366</v>
      </c>
      <c r="R154" s="5">
        <f t="shared" si="13"/>
        <v>0.14104771388800338</v>
      </c>
      <c r="S154" s="2" t="str">
        <f t="shared" si="14"/>
        <v>OK</v>
      </c>
    </row>
    <row r="155" spans="1:19" x14ac:dyDescent="0.35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  <c r="O155" s="4">
        <f t="shared" si="10"/>
        <v>45689</v>
      </c>
      <c r="P155" s="2" t="str">
        <f t="shared" si="11"/>
        <v>2025-02</v>
      </c>
      <c r="Q155" s="2">
        <f t="shared" si="12"/>
        <v>103.63392729970327</v>
      </c>
      <c r="R155" s="5">
        <f t="shared" si="13"/>
        <v>0.16796070315240388</v>
      </c>
      <c r="S155" s="2" t="str">
        <f t="shared" si="14"/>
        <v>OK</v>
      </c>
    </row>
    <row r="156" spans="1:19" x14ac:dyDescent="0.35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  <c r="O156" s="4">
        <f t="shared" si="10"/>
        <v>45717</v>
      </c>
      <c r="P156" s="2" t="str">
        <f t="shared" si="11"/>
        <v>2025-03</v>
      </c>
      <c r="Q156" s="2">
        <f t="shared" si="12"/>
        <v>88.551354422207879</v>
      </c>
      <c r="R156" s="5">
        <f t="shared" si="13"/>
        <v>0.18770852098910074</v>
      </c>
      <c r="S156" s="2" t="str">
        <f t="shared" si="14"/>
        <v>OK</v>
      </c>
    </row>
    <row r="157" spans="1:19" x14ac:dyDescent="0.35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  <c r="O157" s="4">
        <f t="shared" si="10"/>
        <v>45748</v>
      </c>
      <c r="P157" s="2" t="str">
        <f t="shared" si="11"/>
        <v>2025-04</v>
      </c>
      <c r="Q157" s="2">
        <f t="shared" si="12"/>
        <v>91.293245807877284</v>
      </c>
      <c r="R157" s="5">
        <f t="shared" si="13"/>
        <v>0.16065249500461998</v>
      </c>
      <c r="S157" s="2" t="str">
        <f t="shared" si="14"/>
        <v>OK</v>
      </c>
    </row>
    <row r="158" spans="1:19" x14ac:dyDescent="0.35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  <c r="O158" s="4">
        <f t="shared" si="10"/>
        <v>45658</v>
      </c>
      <c r="P158" s="2" t="str">
        <f t="shared" si="11"/>
        <v>2025-01</v>
      </c>
      <c r="Q158" s="2">
        <f t="shared" si="12"/>
        <v>108.97856787048568</v>
      </c>
      <c r="R158" s="5">
        <f t="shared" si="13"/>
        <v>0.1767053434821407</v>
      </c>
      <c r="S158" s="2" t="str">
        <f t="shared" si="14"/>
        <v>OK</v>
      </c>
    </row>
    <row r="159" spans="1:19" x14ac:dyDescent="0.35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  <c r="O159" s="4">
        <f t="shared" si="10"/>
        <v>45689</v>
      </c>
      <c r="P159" s="2" t="str">
        <f t="shared" si="11"/>
        <v>2025-02</v>
      </c>
      <c r="Q159" s="2">
        <f t="shared" si="12"/>
        <v>111.4819111111111</v>
      </c>
      <c r="R159" s="5">
        <f t="shared" si="13"/>
        <v>0.18347650221680209</v>
      </c>
      <c r="S159" s="2" t="str">
        <f t="shared" si="14"/>
        <v>OK</v>
      </c>
    </row>
    <row r="160" spans="1:19" x14ac:dyDescent="0.35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  <c r="O160" s="4">
        <f t="shared" si="10"/>
        <v>45717</v>
      </c>
      <c r="P160" s="2" t="str">
        <f t="shared" si="11"/>
        <v>2025-03</v>
      </c>
      <c r="Q160" s="2">
        <f t="shared" si="12"/>
        <v>103.23821382751247</v>
      </c>
      <c r="R160" s="5">
        <f t="shared" si="13"/>
        <v>0.1389468753434317</v>
      </c>
      <c r="S160" s="2" t="str">
        <f t="shared" si="14"/>
        <v>OK</v>
      </c>
    </row>
    <row r="161" spans="1:19" x14ac:dyDescent="0.35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  <c r="O161" s="4">
        <f t="shared" si="10"/>
        <v>45748</v>
      </c>
      <c r="P161" s="2" t="str">
        <f t="shared" si="11"/>
        <v>2025-04</v>
      </c>
      <c r="Q161" s="2">
        <f t="shared" si="12"/>
        <v>161.41747595528983</v>
      </c>
      <c r="R161" s="5">
        <f t="shared" si="13"/>
        <v>0.11643637727712587</v>
      </c>
      <c r="S161" s="2" t="str">
        <f t="shared" si="14"/>
        <v>OK</v>
      </c>
    </row>
    <row r="162" spans="1:19" x14ac:dyDescent="0.35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  <c r="O162" s="4">
        <f t="shared" si="10"/>
        <v>45658</v>
      </c>
      <c r="P162" s="2" t="str">
        <f t="shared" si="11"/>
        <v>2025-01</v>
      </c>
      <c r="Q162" s="2">
        <f t="shared" si="12"/>
        <v>87.25419986586185</v>
      </c>
      <c r="R162" s="5">
        <f t="shared" si="13"/>
        <v>0.16758710482224468</v>
      </c>
      <c r="S162" s="2" t="str">
        <f t="shared" si="14"/>
        <v>OK</v>
      </c>
    </row>
    <row r="163" spans="1:19" x14ac:dyDescent="0.35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  <c r="O163" s="4">
        <f t="shared" si="10"/>
        <v>45689</v>
      </c>
      <c r="P163" s="2" t="str">
        <f t="shared" si="11"/>
        <v>2025-02</v>
      </c>
      <c r="Q163" s="2">
        <f t="shared" si="12"/>
        <v>111.31276887871853</v>
      </c>
      <c r="R163" s="5">
        <f t="shared" si="13"/>
        <v>0.16712952227298591</v>
      </c>
      <c r="S163" s="2" t="str">
        <f t="shared" si="14"/>
        <v>OK</v>
      </c>
    </row>
    <row r="164" spans="1:19" x14ac:dyDescent="0.35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  <c r="O164" s="4">
        <f t="shared" si="10"/>
        <v>45717</v>
      </c>
      <c r="P164" s="2" t="str">
        <f t="shared" si="11"/>
        <v>2025-03</v>
      </c>
      <c r="Q164" s="2">
        <f t="shared" si="12"/>
        <v>84.236963174919126</v>
      </c>
      <c r="R164" s="5">
        <f t="shared" si="13"/>
        <v>0.14351585019516636</v>
      </c>
      <c r="S164" s="2" t="str">
        <f t="shared" si="14"/>
        <v>OK</v>
      </c>
    </row>
    <row r="165" spans="1:19" x14ac:dyDescent="0.35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  <c r="O165" s="4">
        <f t="shared" si="10"/>
        <v>45748</v>
      </c>
      <c r="P165" s="2" t="str">
        <f t="shared" si="11"/>
        <v>2025-04</v>
      </c>
      <c r="Q165" s="2">
        <f t="shared" si="12"/>
        <v>114.2871412056152</v>
      </c>
      <c r="R165" s="5">
        <f t="shared" si="13"/>
        <v>0.16811621022535209</v>
      </c>
      <c r="S165" s="2" t="str">
        <f t="shared" si="14"/>
        <v>OK</v>
      </c>
    </row>
    <row r="166" spans="1:19" x14ac:dyDescent="0.35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  <c r="O166" s="4">
        <f t="shared" si="10"/>
        <v>45658</v>
      </c>
      <c r="P166" s="2" t="str">
        <f t="shared" si="11"/>
        <v>2025-01</v>
      </c>
      <c r="Q166" s="2">
        <f t="shared" si="12"/>
        <v>88.576414244341947</v>
      </c>
      <c r="R166" s="5">
        <f t="shared" si="13"/>
        <v>0.15856814168977493</v>
      </c>
      <c r="S166" s="2" t="str">
        <f t="shared" si="14"/>
        <v>OK</v>
      </c>
    </row>
    <row r="167" spans="1:19" x14ac:dyDescent="0.35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  <c r="O167" s="4">
        <f t="shared" si="10"/>
        <v>45689</v>
      </c>
      <c r="P167" s="2" t="str">
        <f t="shared" si="11"/>
        <v>2025-02</v>
      </c>
      <c r="Q167" s="2">
        <f t="shared" si="12"/>
        <v>80.360168392308566</v>
      </c>
      <c r="R167" s="5">
        <f t="shared" si="13"/>
        <v>0.19540924469186341</v>
      </c>
      <c r="S167" s="2" t="str">
        <f t="shared" si="14"/>
        <v>OK</v>
      </c>
    </row>
    <row r="168" spans="1:19" x14ac:dyDescent="0.35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  <c r="O168" s="4">
        <f t="shared" si="10"/>
        <v>45717</v>
      </c>
      <c r="P168" s="2" t="str">
        <f t="shared" si="11"/>
        <v>2025-03</v>
      </c>
      <c r="Q168" s="2">
        <f t="shared" si="12"/>
        <v>95.912191958495455</v>
      </c>
      <c r="R168" s="5">
        <f t="shared" si="13"/>
        <v>0.17004031495277408</v>
      </c>
      <c r="S168" s="2" t="str">
        <f t="shared" si="14"/>
        <v>OK</v>
      </c>
    </row>
    <row r="169" spans="1:19" x14ac:dyDescent="0.35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  <c r="O169" s="4">
        <f t="shared" si="10"/>
        <v>45748</v>
      </c>
      <c r="P169" s="2" t="str">
        <f t="shared" si="11"/>
        <v>2025-04</v>
      </c>
      <c r="Q169" s="2">
        <f t="shared" si="12"/>
        <v>86.941662076271186</v>
      </c>
      <c r="R169" s="5">
        <f t="shared" si="13"/>
        <v>0.19412670163142343</v>
      </c>
      <c r="S169" s="2" t="str">
        <f t="shared" si="14"/>
        <v>OK</v>
      </c>
    </row>
    <row r="170" spans="1:19" x14ac:dyDescent="0.35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  <c r="O170" s="4">
        <f t="shared" si="10"/>
        <v>45658</v>
      </c>
      <c r="P170" s="2" t="str">
        <f t="shared" si="11"/>
        <v>2025-01</v>
      </c>
      <c r="Q170" s="2">
        <f t="shared" si="12"/>
        <v>78.923803072327715</v>
      </c>
      <c r="R170" s="5">
        <f t="shared" si="13"/>
        <v>0.16150998281730902</v>
      </c>
      <c r="S170" s="2" t="str">
        <f t="shared" si="14"/>
        <v>OK</v>
      </c>
    </row>
    <row r="171" spans="1:19" x14ac:dyDescent="0.35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  <c r="O171" s="4">
        <f t="shared" si="10"/>
        <v>45689</v>
      </c>
      <c r="P171" s="2" t="str">
        <f t="shared" si="11"/>
        <v>2025-02</v>
      </c>
      <c r="Q171" s="2">
        <f t="shared" si="12"/>
        <v>78.357595036958813</v>
      </c>
      <c r="R171" s="5">
        <f t="shared" si="13"/>
        <v>0.17965206826513583</v>
      </c>
      <c r="S171" s="2" t="str">
        <f t="shared" si="14"/>
        <v>OK</v>
      </c>
    </row>
    <row r="172" spans="1:19" x14ac:dyDescent="0.35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  <c r="O172" s="4">
        <f t="shared" si="10"/>
        <v>45717</v>
      </c>
      <c r="P172" s="2" t="str">
        <f t="shared" si="11"/>
        <v>2025-03</v>
      </c>
      <c r="Q172" s="2">
        <f t="shared" si="12"/>
        <v>86.009918426639842</v>
      </c>
      <c r="R172" s="5">
        <f t="shared" si="13"/>
        <v>0.20617959067731548</v>
      </c>
      <c r="S172" s="2" t="str">
        <f t="shared" si="14"/>
        <v>OK</v>
      </c>
    </row>
    <row r="173" spans="1:19" x14ac:dyDescent="0.35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  <c r="O173" s="4">
        <f t="shared" si="10"/>
        <v>45748</v>
      </c>
      <c r="P173" s="2" t="str">
        <f t="shared" si="11"/>
        <v>2025-04</v>
      </c>
      <c r="Q173" s="2">
        <f t="shared" si="12"/>
        <v>88.610555338287043</v>
      </c>
      <c r="R173" s="5">
        <f t="shared" si="13"/>
        <v>0.17881532264273087</v>
      </c>
      <c r="S173" s="2" t="str">
        <f t="shared" si="14"/>
        <v>OK</v>
      </c>
    </row>
    <row r="174" spans="1:19" x14ac:dyDescent="0.35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  <c r="O174" s="4">
        <f t="shared" si="10"/>
        <v>45658</v>
      </c>
      <c r="P174" s="2" t="str">
        <f t="shared" si="11"/>
        <v>2025-01</v>
      </c>
      <c r="Q174" s="2">
        <f t="shared" si="12"/>
        <v>89.274016702894414</v>
      </c>
      <c r="R174" s="5">
        <f t="shared" si="13"/>
        <v>0.15152171699416017</v>
      </c>
      <c r="S174" s="2" t="str">
        <f t="shared" si="14"/>
        <v>OK</v>
      </c>
    </row>
    <row r="175" spans="1:19" x14ac:dyDescent="0.35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  <c r="O175" s="4">
        <f t="shared" si="10"/>
        <v>45689</v>
      </c>
      <c r="P175" s="2" t="str">
        <f t="shared" si="11"/>
        <v>2025-02</v>
      </c>
      <c r="Q175" s="2">
        <f t="shared" si="12"/>
        <v>76.093260548523205</v>
      </c>
      <c r="R175" s="5">
        <f t="shared" si="13"/>
        <v>0.20415877080438616</v>
      </c>
      <c r="S175" s="2" t="str">
        <f t="shared" si="14"/>
        <v>OK</v>
      </c>
    </row>
    <row r="176" spans="1:19" x14ac:dyDescent="0.35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  <c r="O176" s="4">
        <f t="shared" si="10"/>
        <v>45717</v>
      </c>
      <c r="P176" s="2" t="str">
        <f t="shared" si="11"/>
        <v>2025-03</v>
      </c>
      <c r="Q176" s="2">
        <f t="shared" si="12"/>
        <v>77.156349480968856</v>
      </c>
      <c r="R176" s="5">
        <f t="shared" si="13"/>
        <v>0.17539710334377123</v>
      </c>
      <c r="S176" s="2" t="str">
        <f t="shared" si="14"/>
        <v>OK</v>
      </c>
    </row>
    <row r="177" spans="1:19" x14ac:dyDescent="0.35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  <c r="O177" s="4">
        <f t="shared" si="10"/>
        <v>45748</v>
      </c>
      <c r="P177" s="2" t="str">
        <f t="shared" si="11"/>
        <v>2025-04</v>
      </c>
      <c r="Q177" s="2">
        <f t="shared" si="12"/>
        <v>77.318208036915976</v>
      </c>
      <c r="R177" s="5">
        <f t="shared" si="13"/>
        <v>0.20778986750619199</v>
      </c>
      <c r="S177" s="2" t="str">
        <f t="shared" si="14"/>
        <v>OK</v>
      </c>
    </row>
    <row r="178" spans="1:19" x14ac:dyDescent="0.35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  <c r="O178" s="4">
        <f t="shared" si="10"/>
        <v>45658</v>
      </c>
      <c r="P178" s="2" t="str">
        <f t="shared" si="11"/>
        <v>2025-01</v>
      </c>
      <c r="Q178" s="2">
        <f t="shared" si="12"/>
        <v>71.801452147884476</v>
      </c>
      <c r="R178" s="5">
        <f t="shared" si="13"/>
        <v>0.18068292869796243</v>
      </c>
      <c r="S178" s="2" t="str">
        <f t="shared" si="14"/>
        <v>OK</v>
      </c>
    </row>
    <row r="179" spans="1:19" x14ac:dyDescent="0.35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  <c r="O179" s="4">
        <f t="shared" si="10"/>
        <v>45689</v>
      </c>
      <c r="P179" s="2" t="str">
        <f t="shared" si="11"/>
        <v>2025-02</v>
      </c>
      <c r="Q179" s="2">
        <f t="shared" si="12"/>
        <v>98.874700315457417</v>
      </c>
      <c r="R179" s="5">
        <f t="shared" si="13"/>
        <v>0.16676101543935415</v>
      </c>
      <c r="S179" s="2" t="str">
        <f t="shared" si="14"/>
        <v>OK</v>
      </c>
    </row>
    <row r="180" spans="1:19" x14ac:dyDescent="0.35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  <c r="O180" s="4">
        <f t="shared" si="10"/>
        <v>45717</v>
      </c>
      <c r="P180" s="2" t="str">
        <f t="shared" si="11"/>
        <v>2025-03</v>
      </c>
      <c r="Q180" s="2">
        <f t="shared" si="12"/>
        <v>88.157330326944759</v>
      </c>
      <c r="R180" s="5">
        <f t="shared" si="13"/>
        <v>0.19512453854152725</v>
      </c>
      <c r="S180" s="2" t="str">
        <f t="shared" si="14"/>
        <v>OK</v>
      </c>
    </row>
    <row r="181" spans="1:19" x14ac:dyDescent="0.35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  <c r="O181" s="4">
        <f t="shared" si="10"/>
        <v>45748</v>
      </c>
      <c r="P181" s="2" t="str">
        <f t="shared" si="11"/>
        <v>2025-04</v>
      </c>
      <c r="Q181" s="2">
        <f t="shared" si="12"/>
        <v>89.812085208520855</v>
      </c>
      <c r="R181" s="5">
        <f t="shared" si="13"/>
        <v>0.1544117005131582</v>
      </c>
      <c r="S181" s="2" t="str">
        <f t="shared" si="14"/>
        <v>OK</v>
      </c>
    </row>
    <row r="182" spans="1:19" x14ac:dyDescent="0.35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  <c r="O182" s="4">
        <f t="shared" si="10"/>
        <v>45658</v>
      </c>
      <c r="P182" s="2" t="str">
        <f t="shared" si="11"/>
        <v>2025-01</v>
      </c>
      <c r="Q182" s="2">
        <f t="shared" si="12"/>
        <v>76.684712210866053</v>
      </c>
      <c r="R182" s="5">
        <f t="shared" si="13"/>
        <v>0.20555982051982805</v>
      </c>
      <c r="S182" s="2" t="str">
        <f t="shared" si="14"/>
        <v>OK</v>
      </c>
    </row>
    <row r="183" spans="1:19" x14ac:dyDescent="0.35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  <c r="O183" s="4">
        <f t="shared" si="10"/>
        <v>45689</v>
      </c>
      <c r="P183" s="2" t="str">
        <f t="shared" si="11"/>
        <v>2025-02</v>
      </c>
      <c r="Q183" s="2">
        <f t="shared" si="12"/>
        <v>80.908138257779697</v>
      </c>
      <c r="R183" s="5">
        <f t="shared" si="13"/>
        <v>0.12174749147544295</v>
      </c>
      <c r="S183" s="2" t="str">
        <f t="shared" si="14"/>
        <v>OK</v>
      </c>
    </row>
    <row r="184" spans="1:19" x14ac:dyDescent="0.35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  <c r="O184" s="4">
        <f t="shared" si="10"/>
        <v>45717</v>
      </c>
      <c r="P184" s="2" t="str">
        <f t="shared" si="11"/>
        <v>2025-03</v>
      </c>
      <c r="Q184" s="2">
        <f t="shared" si="12"/>
        <v>77.565947818997145</v>
      </c>
      <c r="R184" s="5">
        <f t="shared" si="13"/>
        <v>0.14926993991199944</v>
      </c>
      <c r="S184" s="2" t="str">
        <f t="shared" si="14"/>
        <v>OK</v>
      </c>
    </row>
    <row r="185" spans="1:19" x14ac:dyDescent="0.35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  <c r="O185" s="4">
        <f t="shared" si="10"/>
        <v>45748</v>
      </c>
      <c r="P185" s="2" t="str">
        <f t="shared" si="11"/>
        <v>2025-04</v>
      </c>
      <c r="Q185" s="2">
        <f t="shared" si="12"/>
        <v>76.31138534587096</v>
      </c>
      <c r="R185" s="5">
        <f t="shared" si="13"/>
        <v>0.21069690565457103</v>
      </c>
      <c r="S185" s="2" t="str">
        <f t="shared" si="14"/>
        <v>OK</v>
      </c>
    </row>
    <row r="186" spans="1:19" x14ac:dyDescent="0.35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  <c r="O186" s="4">
        <f t="shared" si="10"/>
        <v>45658</v>
      </c>
      <c r="P186" s="2" t="str">
        <f t="shared" si="11"/>
        <v>2025-01</v>
      </c>
      <c r="Q186" s="2">
        <f t="shared" si="12"/>
        <v>112.07356344510191</v>
      </c>
      <c r="R186" s="5">
        <f t="shared" si="13"/>
        <v>0.17253743593437881</v>
      </c>
      <c r="S186" s="2" t="str">
        <f t="shared" si="14"/>
        <v>OK</v>
      </c>
    </row>
    <row r="187" spans="1:19" x14ac:dyDescent="0.35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  <c r="O187" s="4">
        <f t="shared" si="10"/>
        <v>45689</v>
      </c>
      <c r="P187" s="2" t="str">
        <f t="shared" si="11"/>
        <v>2025-02</v>
      </c>
      <c r="Q187" s="2">
        <f t="shared" si="12"/>
        <v>129.15292650418888</v>
      </c>
      <c r="R187" s="5">
        <f t="shared" si="13"/>
        <v>0.19464482650344678</v>
      </c>
      <c r="S187" s="2" t="str">
        <f t="shared" si="14"/>
        <v>OK</v>
      </c>
    </row>
    <row r="188" spans="1:19" x14ac:dyDescent="0.35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  <c r="O188" s="4">
        <f t="shared" si="10"/>
        <v>45717</v>
      </c>
      <c r="P188" s="2" t="str">
        <f t="shared" si="11"/>
        <v>2025-03</v>
      </c>
      <c r="Q188" s="2">
        <f t="shared" si="12"/>
        <v>117.5425030693677</v>
      </c>
      <c r="R188" s="5">
        <f t="shared" si="13"/>
        <v>0.14885084931008918</v>
      </c>
      <c r="S188" s="2" t="str">
        <f t="shared" si="14"/>
        <v>OK</v>
      </c>
    </row>
    <row r="189" spans="1:19" x14ac:dyDescent="0.35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  <c r="O189" s="4">
        <f t="shared" si="10"/>
        <v>45748</v>
      </c>
      <c r="P189" s="2" t="str">
        <f t="shared" si="11"/>
        <v>2025-04</v>
      </c>
      <c r="Q189" s="2">
        <f t="shared" si="12"/>
        <v>89.83186838124054</v>
      </c>
      <c r="R189" s="5">
        <f t="shared" si="13"/>
        <v>0.14241885559786296</v>
      </c>
      <c r="S189" s="2" t="str">
        <f t="shared" si="14"/>
        <v>OK</v>
      </c>
    </row>
    <row r="190" spans="1:19" x14ac:dyDescent="0.35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  <c r="O190" s="4">
        <f t="shared" si="10"/>
        <v>45658</v>
      </c>
      <c r="P190" s="2" t="str">
        <f t="shared" si="11"/>
        <v>2025-01</v>
      </c>
      <c r="Q190" s="2">
        <f t="shared" si="12"/>
        <v>178.54929549343981</v>
      </c>
      <c r="R190" s="5">
        <f t="shared" si="13"/>
        <v>0.15808513639822938</v>
      </c>
      <c r="S190" s="2" t="str">
        <f t="shared" si="14"/>
        <v>OK</v>
      </c>
    </row>
    <row r="191" spans="1:19" x14ac:dyDescent="0.35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  <c r="O191" s="4">
        <f t="shared" si="10"/>
        <v>45689</v>
      </c>
      <c r="P191" s="2" t="str">
        <f t="shared" si="11"/>
        <v>2025-02</v>
      </c>
      <c r="Q191" s="2">
        <f t="shared" si="12"/>
        <v>238.30576557093428</v>
      </c>
      <c r="R191" s="5">
        <f t="shared" si="13"/>
        <v>0.17631781506606986</v>
      </c>
      <c r="S191" s="2" t="str">
        <f t="shared" si="14"/>
        <v>OK</v>
      </c>
    </row>
    <row r="192" spans="1:19" x14ac:dyDescent="0.35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  <c r="O192" s="4">
        <f t="shared" si="10"/>
        <v>45717</v>
      </c>
      <c r="P192" s="2" t="str">
        <f t="shared" si="11"/>
        <v>2025-03</v>
      </c>
      <c r="Q192" s="2">
        <f t="shared" si="12"/>
        <v>349.58642744479499</v>
      </c>
      <c r="R192" s="5">
        <f t="shared" si="13"/>
        <v>0.12079248487380051</v>
      </c>
      <c r="S192" s="2" t="str">
        <f t="shared" si="14"/>
        <v>OK</v>
      </c>
    </row>
    <row r="193" spans="1:19" x14ac:dyDescent="0.35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  <c r="O193" s="4">
        <f t="shared" si="10"/>
        <v>45748</v>
      </c>
      <c r="P193" s="2" t="str">
        <f t="shared" si="11"/>
        <v>2025-04</v>
      </c>
      <c r="Q193" s="2">
        <f t="shared" si="12"/>
        <v>125.25708116662898</v>
      </c>
      <c r="R193" s="5">
        <f t="shared" si="13"/>
        <v>0.14638962649315565</v>
      </c>
      <c r="S193" s="2" t="str">
        <f t="shared" si="14"/>
        <v>OK</v>
      </c>
    </row>
    <row r="194" spans="1:19" x14ac:dyDescent="0.35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  <c r="O194" s="4">
        <f t="shared" ref="O194:O257" si="15">B194</f>
        <v>45658</v>
      </c>
      <c r="P194" s="2" t="str">
        <f t="shared" ref="P194:P257" si="16">TEXT(O194,"yyyy-mm")</f>
        <v>2025-01</v>
      </c>
      <c r="Q194" s="2">
        <f t="shared" ref="Q194:Q257" si="17">IFERROR(M194/F194,"")</f>
        <v>104.16526631050671</v>
      </c>
      <c r="R194" s="5">
        <f t="shared" ref="R194:R257" si="18">IFERROR(N194/M194,"")</f>
        <v>0.14683461893261393</v>
      </c>
      <c r="S194" s="2" t="str">
        <f t="shared" ref="S194:S257" si="19">IF(OR(M194="",E194="",F194="",I194=""),"Check","OK")</f>
        <v>OK</v>
      </c>
    </row>
    <row r="195" spans="1:19" x14ac:dyDescent="0.35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  <c r="O195" s="4">
        <f t="shared" si="15"/>
        <v>45689</v>
      </c>
      <c r="P195" s="2" t="str">
        <f t="shared" si="16"/>
        <v>2025-02</v>
      </c>
      <c r="Q195" s="2">
        <f t="shared" si="17"/>
        <v>118.82024660194175</v>
      </c>
      <c r="R195" s="5">
        <f t="shared" si="18"/>
        <v>0.18873046169585658</v>
      </c>
      <c r="S195" s="2" t="str">
        <f t="shared" si="19"/>
        <v>OK</v>
      </c>
    </row>
    <row r="196" spans="1:19" x14ac:dyDescent="0.35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  <c r="O196" s="4">
        <f t="shared" si="15"/>
        <v>45717</v>
      </c>
      <c r="P196" s="2" t="str">
        <f t="shared" si="16"/>
        <v>2025-03</v>
      </c>
      <c r="Q196" s="2">
        <f t="shared" si="17"/>
        <v>147.87787998942639</v>
      </c>
      <c r="R196" s="5">
        <f t="shared" si="18"/>
        <v>0.13143697847288885</v>
      </c>
      <c r="S196" s="2" t="str">
        <f t="shared" si="19"/>
        <v>OK</v>
      </c>
    </row>
    <row r="197" spans="1:19" x14ac:dyDescent="0.35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  <c r="O197" s="4">
        <f t="shared" si="15"/>
        <v>45748</v>
      </c>
      <c r="P197" s="2" t="str">
        <f t="shared" si="16"/>
        <v>2025-04</v>
      </c>
      <c r="Q197" s="2">
        <f t="shared" si="17"/>
        <v>143.37003508771929</v>
      </c>
      <c r="R197" s="5">
        <f t="shared" si="18"/>
        <v>0.14616215106909533</v>
      </c>
      <c r="S197" s="2" t="str">
        <f t="shared" si="19"/>
        <v>OK</v>
      </c>
    </row>
    <row r="198" spans="1:19" x14ac:dyDescent="0.35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  <c r="O198" s="4">
        <f t="shared" si="15"/>
        <v>45658</v>
      </c>
      <c r="P198" s="2" t="str">
        <f t="shared" si="16"/>
        <v>2025-01</v>
      </c>
      <c r="Q198" s="2">
        <f t="shared" si="17"/>
        <v>139.12423138833</v>
      </c>
      <c r="R198" s="5">
        <f t="shared" si="18"/>
        <v>0.16498389472645808</v>
      </c>
      <c r="S198" s="2" t="str">
        <f t="shared" si="19"/>
        <v>OK</v>
      </c>
    </row>
    <row r="199" spans="1:19" x14ac:dyDescent="0.35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  <c r="O199" s="4">
        <f t="shared" si="15"/>
        <v>45689</v>
      </c>
      <c r="P199" s="2" t="str">
        <f t="shared" si="16"/>
        <v>2025-02</v>
      </c>
      <c r="Q199" s="2">
        <f t="shared" si="17"/>
        <v>131.48571003206595</v>
      </c>
      <c r="R199" s="5">
        <f t="shared" si="18"/>
        <v>0.21717805534796739</v>
      </c>
      <c r="S199" s="2" t="str">
        <f t="shared" si="19"/>
        <v>OK</v>
      </c>
    </row>
    <row r="200" spans="1:19" x14ac:dyDescent="0.35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  <c r="O200" s="4">
        <f t="shared" si="15"/>
        <v>45717</v>
      </c>
      <c r="P200" s="2" t="str">
        <f t="shared" si="16"/>
        <v>2025-03</v>
      </c>
      <c r="Q200" s="2">
        <f t="shared" si="17"/>
        <v>115.51273743016759</v>
      </c>
      <c r="R200" s="5">
        <f t="shared" si="18"/>
        <v>0.13861934913048771</v>
      </c>
      <c r="S200" s="2" t="str">
        <f t="shared" si="19"/>
        <v>OK</v>
      </c>
    </row>
    <row r="201" spans="1:19" x14ac:dyDescent="0.35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  <c r="O201" s="4">
        <f t="shared" si="15"/>
        <v>45748</v>
      </c>
      <c r="P201" s="2" t="str">
        <f t="shared" si="16"/>
        <v>2025-04</v>
      </c>
      <c r="Q201" s="2">
        <f t="shared" si="17"/>
        <v>131.97966636771301</v>
      </c>
      <c r="R201" s="5">
        <f t="shared" si="18"/>
        <v>0.17198010010075748</v>
      </c>
      <c r="S201" s="2" t="str">
        <f t="shared" si="19"/>
        <v>OK</v>
      </c>
    </row>
    <row r="202" spans="1:19" x14ac:dyDescent="0.35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  <c r="O202" s="4">
        <f t="shared" si="15"/>
        <v>45658</v>
      </c>
      <c r="P202" s="2" t="str">
        <f t="shared" si="16"/>
        <v>2025-01</v>
      </c>
      <c r="Q202" s="2">
        <f t="shared" si="17"/>
        <v>100.57177162048698</v>
      </c>
      <c r="R202" s="5">
        <f t="shared" si="18"/>
        <v>0.12165704438217152</v>
      </c>
      <c r="S202" s="2" t="str">
        <f t="shared" si="19"/>
        <v>OK</v>
      </c>
    </row>
    <row r="203" spans="1:19" x14ac:dyDescent="0.35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  <c r="O203" s="4">
        <f t="shared" si="15"/>
        <v>45689</v>
      </c>
      <c r="P203" s="2" t="str">
        <f t="shared" si="16"/>
        <v>2025-02</v>
      </c>
      <c r="Q203" s="2">
        <f t="shared" si="17"/>
        <v>123.29245734856785</v>
      </c>
      <c r="R203" s="5">
        <f t="shared" si="18"/>
        <v>0.16372614016448653</v>
      </c>
      <c r="S203" s="2" t="str">
        <f t="shared" si="19"/>
        <v>OK</v>
      </c>
    </row>
    <row r="204" spans="1:19" x14ac:dyDescent="0.35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  <c r="O204" s="4">
        <f t="shared" si="15"/>
        <v>45717</v>
      </c>
      <c r="P204" s="2" t="str">
        <f t="shared" si="16"/>
        <v>2025-03</v>
      </c>
      <c r="Q204" s="2">
        <f t="shared" si="17"/>
        <v>88.034356148491881</v>
      </c>
      <c r="R204" s="5">
        <f t="shared" si="18"/>
        <v>0.16234712270566695</v>
      </c>
      <c r="S204" s="2" t="str">
        <f t="shared" si="19"/>
        <v>OK</v>
      </c>
    </row>
    <row r="205" spans="1:19" x14ac:dyDescent="0.35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  <c r="O205" s="4">
        <f t="shared" si="15"/>
        <v>45748</v>
      </c>
      <c r="P205" s="2" t="str">
        <f t="shared" si="16"/>
        <v>2025-04</v>
      </c>
      <c r="Q205" s="2">
        <f t="shared" si="17"/>
        <v>108.19542643391522</v>
      </c>
      <c r="R205" s="5">
        <f t="shared" si="18"/>
        <v>0.15832299329548211</v>
      </c>
      <c r="S205" s="2" t="str">
        <f t="shared" si="19"/>
        <v>OK</v>
      </c>
    </row>
    <row r="206" spans="1:19" x14ac:dyDescent="0.35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  <c r="O206" s="4">
        <f t="shared" si="15"/>
        <v>45658</v>
      </c>
      <c r="P206" s="2" t="str">
        <f t="shared" si="16"/>
        <v>2025-01</v>
      </c>
      <c r="Q206" s="2">
        <f t="shared" si="17"/>
        <v>87.068438159560998</v>
      </c>
      <c r="R206" s="5">
        <f t="shared" si="18"/>
        <v>0.17406377655786995</v>
      </c>
      <c r="S206" s="2" t="str">
        <f t="shared" si="19"/>
        <v>OK</v>
      </c>
    </row>
    <row r="207" spans="1:19" x14ac:dyDescent="0.35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  <c r="O207" s="4">
        <f t="shared" si="15"/>
        <v>45689</v>
      </c>
      <c r="P207" s="2" t="str">
        <f t="shared" si="16"/>
        <v>2025-02</v>
      </c>
      <c r="Q207" s="2">
        <f t="shared" si="17"/>
        <v>101.01136126984126</v>
      </c>
      <c r="R207" s="5">
        <f t="shared" si="18"/>
        <v>0.20258669755545461</v>
      </c>
      <c r="S207" s="2" t="str">
        <f t="shared" si="19"/>
        <v>OK</v>
      </c>
    </row>
    <row r="208" spans="1:19" x14ac:dyDescent="0.35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  <c r="O208" s="4">
        <f t="shared" si="15"/>
        <v>45717</v>
      </c>
      <c r="P208" s="2" t="str">
        <f t="shared" si="16"/>
        <v>2025-03</v>
      </c>
      <c r="Q208" s="2">
        <f t="shared" si="17"/>
        <v>72.376235053323271</v>
      </c>
      <c r="R208" s="5">
        <f t="shared" si="18"/>
        <v>0.10568030870441496</v>
      </c>
      <c r="S208" s="2" t="str">
        <f t="shared" si="19"/>
        <v>OK</v>
      </c>
    </row>
    <row r="209" spans="1:19" x14ac:dyDescent="0.35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  <c r="O209" s="4">
        <f t="shared" si="15"/>
        <v>45748</v>
      </c>
      <c r="P209" s="2" t="str">
        <f t="shared" si="16"/>
        <v>2025-04</v>
      </c>
      <c r="Q209" s="2">
        <f t="shared" si="17"/>
        <v>81.406435023485486</v>
      </c>
      <c r="R209" s="5">
        <f t="shared" si="18"/>
        <v>0.16653619465436933</v>
      </c>
      <c r="S209" s="2" t="str">
        <f t="shared" si="19"/>
        <v>OK</v>
      </c>
    </row>
    <row r="210" spans="1:19" x14ac:dyDescent="0.35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  <c r="O210" s="4">
        <f t="shared" si="15"/>
        <v>45658</v>
      </c>
      <c r="P210" s="2" t="str">
        <f t="shared" si="16"/>
        <v>2025-01</v>
      </c>
      <c r="Q210" s="2">
        <f t="shared" si="17"/>
        <v>80.044101728395063</v>
      </c>
      <c r="R210" s="5">
        <f t="shared" si="18"/>
        <v>0.24748744374289564</v>
      </c>
      <c r="S210" s="2" t="str">
        <f t="shared" si="19"/>
        <v>OK</v>
      </c>
    </row>
    <row r="211" spans="1:19" x14ac:dyDescent="0.35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  <c r="O211" s="4">
        <f t="shared" si="15"/>
        <v>45689</v>
      </c>
      <c r="P211" s="2" t="str">
        <f t="shared" si="16"/>
        <v>2025-02</v>
      </c>
      <c r="Q211" s="2">
        <f t="shared" si="17"/>
        <v>73.09031401987734</v>
      </c>
      <c r="R211" s="5">
        <f t="shared" si="18"/>
        <v>0.23011262495313284</v>
      </c>
      <c r="S211" s="2" t="str">
        <f t="shared" si="19"/>
        <v>OK</v>
      </c>
    </row>
    <row r="212" spans="1:19" x14ac:dyDescent="0.35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  <c r="O212" s="4">
        <f t="shared" si="15"/>
        <v>45717</v>
      </c>
      <c r="P212" s="2" t="str">
        <f t="shared" si="16"/>
        <v>2025-03</v>
      </c>
      <c r="Q212" s="2">
        <f t="shared" si="17"/>
        <v>73.569039627039629</v>
      </c>
      <c r="R212" s="5">
        <f t="shared" si="18"/>
        <v>0.19490259079753341</v>
      </c>
      <c r="S212" s="2" t="str">
        <f t="shared" si="19"/>
        <v>OK</v>
      </c>
    </row>
    <row r="213" spans="1:19" x14ac:dyDescent="0.35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  <c r="O213" s="4">
        <f t="shared" si="15"/>
        <v>45748</v>
      </c>
      <c r="P213" s="2" t="str">
        <f t="shared" si="16"/>
        <v>2025-04</v>
      </c>
      <c r="Q213" s="2">
        <f t="shared" si="17"/>
        <v>78.134047374897449</v>
      </c>
      <c r="R213" s="5">
        <f t="shared" si="18"/>
        <v>0.19700899477787134</v>
      </c>
      <c r="S213" s="2" t="str">
        <f t="shared" si="19"/>
        <v>OK</v>
      </c>
    </row>
    <row r="214" spans="1:19" x14ac:dyDescent="0.35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  <c r="O214" s="4">
        <f t="shared" si="15"/>
        <v>45658</v>
      </c>
      <c r="P214" s="2" t="str">
        <f t="shared" si="16"/>
        <v>2025-01</v>
      </c>
      <c r="Q214" s="2">
        <f t="shared" si="17"/>
        <v>85.44477643345607</v>
      </c>
      <c r="R214" s="5">
        <f t="shared" si="18"/>
        <v>0.1704352482526067</v>
      </c>
      <c r="S214" s="2" t="str">
        <f t="shared" si="19"/>
        <v>OK</v>
      </c>
    </row>
    <row r="215" spans="1:19" x14ac:dyDescent="0.35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  <c r="O215" s="4">
        <f t="shared" si="15"/>
        <v>45689</v>
      </c>
      <c r="P215" s="2" t="str">
        <f t="shared" si="16"/>
        <v>2025-02</v>
      </c>
      <c r="Q215" s="2">
        <f t="shared" si="17"/>
        <v>85.526508712282194</v>
      </c>
      <c r="R215" s="5">
        <f t="shared" si="18"/>
        <v>0.17398604056893657</v>
      </c>
      <c r="S215" s="2" t="str">
        <f t="shared" si="19"/>
        <v>OK</v>
      </c>
    </row>
    <row r="216" spans="1:19" x14ac:dyDescent="0.35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  <c r="O216" s="4">
        <f t="shared" si="15"/>
        <v>45717</v>
      </c>
      <c r="P216" s="2" t="str">
        <f t="shared" si="16"/>
        <v>2025-03</v>
      </c>
      <c r="Q216" s="2">
        <f t="shared" si="17"/>
        <v>78.009303193695558</v>
      </c>
      <c r="R216" s="5">
        <f t="shared" si="18"/>
        <v>0.18315104607108779</v>
      </c>
      <c r="S216" s="2" t="str">
        <f t="shared" si="19"/>
        <v>OK</v>
      </c>
    </row>
    <row r="217" spans="1:19" x14ac:dyDescent="0.35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  <c r="O217" s="4">
        <f t="shared" si="15"/>
        <v>45748</v>
      </c>
      <c r="P217" s="2" t="str">
        <f t="shared" si="16"/>
        <v>2025-04</v>
      </c>
      <c r="Q217" s="2">
        <f t="shared" si="17"/>
        <v>74.564169636493233</v>
      </c>
      <c r="R217" s="5">
        <f t="shared" si="18"/>
        <v>0.16858510079910316</v>
      </c>
      <c r="S217" s="2" t="str">
        <f t="shared" si="19"/>
        <v>OK</v>
      </c>
    </row>
    <row r="218" spans="1:19" x14ac:dyDescent="0.35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  <c r="O218" s="4">
        <f t="shared" si="15"/>
        <v>45658</v>
      </c>
      <c r="P218" s="2" t="str">
        <f t="shared" si="16"/>
        <v>2025-01</v>
      </c>
      <c r="Q218" s="2">
        <f t="shared" si="17"/>
        <v>125.00724879495736</v>
      </c>
      <c r="R218" s="5">
        <f t="shared" si="18"/>
        <v>0.17466364204908547</v>
      </c>
      <c r="S218" s="2" t="str">
        <f t="shared" si="19"/>
        <v>OK</v>
      </c>
    </row>
    <row r="219" spans="1:19" x14ac:dyDescent="0.35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  <c r="O219" s="4">
        <f t="shared" si="15"/>
        <v>45689</v>
      </c>
      <c r="P219" s="2" t="str">
        <f t="shared" si="16"/>
        <v>2025-02</v>
      </c>
      <c r="Q219" s="2">
        <f t="shared" si="17"/>
        <v>124.2306382130036</v>
      </c>
      <c r="R219" s="5">
        <f t="shared" si="18"/>
        <v>0.16219898774815722</v>
      </c>
      <c r="S219" s="2" t="str">
        <f t="shared" si="19"/>
        <v>OK</v>
      </c>
    </row>
    <row r="220" spans="1:19" x14ac:dyDescent="0.35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  <c r="O220" s="4">
        <f t="shared" si="15"/>
        <v>45717</v>
      </c>
      <c r="P220" s="2" t="str">
        <f t="shared" si="16"/>
        <v>2025-03</v>
      </c>
      <c r="Q220" s="2">
        <f t="shared" si="17"/>
        <v>150.73842847548693</v>
      </c>
      <c r="R220" s="5">
        <f t="shared" si="18"/>
        <v>0.10316289976175191</v>
      </c>
      <c r="S220" s="2" t="str">
        <f t="shared" si="19"/>
        <v>OK</v>
      </c>
    </row>
    <row r="221" spans="1:19" x14ac:dyDescent="0.35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  <c r="O221" s="4">
        <f t="shared" si="15"/>
        <v>45748</v>
      </c>
      <c r="P221" s="2" t="str">
        <f t="shared" si="16"/>
        <v>2025-04</v>
      </c>
      <c r="Q221" s="2">
        <f t="shared" si="17"/>
        <v>129.60203078238564</v>
      </c>
      <c r="R221" s="5">
        <f t="shared" si="18"/>
        <v>0.1685913218401516</v>
      </c>
      <c r="S221" s="2" t="str">
        <f t="shared" si="19"/>
        <v>OK</v>
      </c>
    </row>
    <row r="222" spans="1:19" x14ac:dyDescent="0.35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  <c r="O222" s="4">
        <f t="shared" si="15"/>
        <v>45658</v>
      </c>
      <c r="P222" s="2" t="str">
        <f t="shared" si="16"/>
        <v>2025-01</v>
      </c>
      <c r="Q222" s="2">
        <f t="shared" si="17"/>
        <v>97.684790838019481</v>
      </c>
      <c r="R222" s="5">
        <f t="shared" si="18"/>
        <v>0.12061801538488516</v>
      </c>
      <c r="S222" s="2" t="str">
        <f t="shared" si="19"/>
        <v>OK</v>
      </c>
    </row>
    <row r="223" spans="1:19" x14ac:dyDescent="0.35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  <c r="O223" s="4">
        <f t="shared" si="15"/>
        <v>45689</v>
      </c>
      <c r="P223" s="2" t="str">
        <f t="shared" si="16"/>
        <v>2025-02</v>
      </c>
      <c r="Q223" s="2">
        <f t="shared" si="17"/>
        <v>90.852314964883846</v>
      </c>
      <c r="R223" s="5">
        <f t="shared" si="18"/>
        <v>0.19724987510230488</v>
      </c>
      <c r="S223" s="2" t="str">
        <f t="shared" si="19"/>
        <v>OK</v>
      </c>
    </row>
    <row r="224" spans="1:19" x14ac:dyDescent="0.35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  <c r="O224" s="4">
        <f t="shared" si="15"/>
        <v>45717</v>
      </c>
      <c r="P224" s="2" t="str">
        <f t="shared" si="16"/>
        <v>2025-03</v>
      </c>
      <c r="Q224" s="2">
        <f t="shared" si="17"/>
        <v>92.978162436548232</v>
      </c>
      <c r="R224" s="5">
        <f t="shared" si="18"/>
        <v>0.17559723373721617</v>
      </c>
      <c r="S224" s="2" t="str">
        <f t="shared" si="19"/>
        <v>OK</v>
      </c>
    </row>
    <row r="225" spans="1:19" x14ac:dyDescent="0.35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  <c r="O225" s="4">
        <f t="shared" si="15"/>
        <v>45748</v>
      </c>
      <c r="P225" s="2" t="str">
        <f t="shared" si="16"/>
        <v>2025-04</v>
      </c>
      <c r="Q225" s="2">
        <f t="shared" si="17"/>
        <v>82.472517952809767</v>
      </c>
      <c r="R225" s="5">
        <f t="shared" si="18"/>
        <v>0.15036645265153661</v>
      </c>
      <c r="S225" s="2" t="str">
        <f t="shared" si="19"/>
        <v>OK</v>
      </c>
    </row>
    <row r="226" spans="1:19" x14ac:dyDescent="0.35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  <c r="O226" s="4">
        <f t="shared" si="15"/>
        <v>45658</v>
      </c>
      <c r="P226" s="2" t="str">
        <f t="shared" si="16"/>
        <v>2025-01</v>
      </c>
      <c r="Q226" s="2">
        <f t="shared" si="17"/>
        <v>136.12658603861658</v>
      </c>
      <c r="R226" s="5">
        <f t="shared" si="18"/>
        <v>0.14101301723941753</v>
      </c>
      <c r="S226" s="2" t="str">
        <f t="shared" si="19"/>
        <v>OK</v>
      </c>
    </row>
    <row r="227" spans="1:19" x14ac:dyDescent="0.35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  <c r="O227" s="4">
        <f t="shared" si="15"/>
        <v>45689</v>
      </c>
      <c r="P227" s="2" t="str">
        <f t="shared" si="16"/>
        <v>2025-02</v>
      </c>
      <c r="Q227" s="2">
        <f t="shared" si="17"/>
        <v>188.79151653764953</v>
      </c>
      <c r="R227" s="5">
        <f t="shared" si="18"/>
        <v>0.18249608248500979</v>
      </c>
      <c r="S227" s="2" t="str">
        <f t="shared" si="19"/>
        <v>OK</v>
      </c>
    </row>
    <row r="228" spans="1:19" x14ac:dyDescent="0.35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  <c r="O228" s="4">
        <f t="shared" si="15"/>
        <v>45717</v>
      </c>
      <c r="P228" s="2" t="str">
        <f t="shared" si="16"/>
        <v>2025-03</v>
      </c>
      <c r="Q228" s="2">
        <f t="shared" si="17"/>
        <v>136.28139462809918</v>
      </c>
      <c r="R228" s="5">
        <f t="shared" si="18"/>
        <v>0.11968022911393757</v>
      </c>
      <c r="S228" s="2" t="str">
        <f t="shared" si="19"/>
        <v>OK</v>
      </c>
    </row>
    <row r="229" spans="1:19" x14ac:dyDescent="0.35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  <c r="O229" s="4">
        <f t="shared" si="15"/>
        <v>45748</v>
      </c>
      <c r="P229" s="2" t="str">
        <f t="shared" si="16"/>
        <v>2025-04</v>
      </c>
      <c r="Q229" s="2">
        <f t="shared" si="17"/>
        <v>385.1628654545454</v>
      </c>
      <c r="R229" s="5">
        <f t="shared" si="18"/>
        <v>0.15924187839197718</v>
      </c>
      <c r="S229" s="2" t="str">
        <f t="shared" si="19"/>
        <v>OK</v>
      </c>
    </row>
    <row r="230" spans="1:19" x14ac:dyDescent="0.35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  <c r="O230" s="4">
        <f t="shared" si="15"/>
        <v>45658</v>
      </c>
      <c r="P230" s="2" t="str">
        <f t="shared" si="16"/>
        <v>2025-01</v>
      </c>
      <c r="Q230" s="2">
        <f t="shared" si="17"/>
        <v>95.847458452241071</v>
      </c>
      <c r="R230" s="5">
        <f t="shared" si="18"/>
        <v>0.15297348966258442</v>
      </c>
      <c r="S230" s="2" t="str">
        <f t="shared" si="19"/>
        <v>OK</v>
      </c>
    </row>
    <row r="231" spans="1:19" x14ac:dyDescent="0.35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  <c r="O231" s="4">
        <f t="shared" si="15"/>
        <v>45689</v>
      </c>
      <c r="P231" s="2" t="str">
        <f t="shared" si="16"/>
        <v>2025-02</v>
      </c>
      <c r="Q231" s="2">
        <f t="shared" si="17"/>
        <v>97.191987501394934</v>
      </c>
      <c r="R231" s="5">
        <f t="shared" si="18"/>
        <v>0.20125756455056354</v>
      </c>
      <c r="S231" s="2" t="str">
        <f t="shared" si="19"/>
        <v>OK</v>
      </c>
    </row>
    <row r="232" spans="1:19" x14ac:dyDescent="0.35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  <c r="O232" s="4">
        <f t="shared" si="15"/>
        <v>45717</v>
      </c>
      <c r="P232" s="2" t="str">
        <f t="shared" si="16"/>
        <v>2025-03</v>
      </c>
      <c r="Q232" s="2">
        <f t="shared" si="17"/>
        <v>91.209972498090153</v>
      </c>
      <c r="R232" s="5">
        <f t="shared" si="18"/>
        <v>0.1770099656888536</v>
      </c>
      <c r="S232" s="2" t="str">
        <f t="shared" si="19"/>
        <v>OK</v>
      </c>
    </row>
    <row r="233" spans="1:19" x14ac:dyDescent="0.35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  <c r="O233" s="4">
        <f t="shared" si="15"/>
        <v>45748</v>
      </c>
      <c r="P233" s="2" t="str">
        <f t="shared" si="16"/>
        <v>2025-04</v>
      </c>
      <c r="Q233" s="2">
        <f t="shared" si="17"/>
        <v>118.65729338464357</v>
      </c>
      <c r="R233" s="5">
        <f t="shared" si="18"/>
        <v>0.23757917700011669</v>
      </c>
      <c r="S233" s="2" t="str">
        <f t="shared" si="19"/>
        <v>OK</v>
      </c>
    </row>
    <row r="234" spans="1:19" x14ac:dyDescent="0.35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  <c r="O234" s="4">
        <f t="shared" si="15"/>
        <v>45658</v>
      </c>
      <c r="P234" s="2" t="str">
        <f t="shared" si="16"/>
        <v>2025-01</v>
      </c>
      <c r="Q234" s="2">
        <f t="shared" si="17"/>
        <v>154.33211538461538</v>
      </c>
      <c r="R234" s="5">
        <f t="shared" si="18"/>
        <v>0.16806043483317801</v>
      </c>
      <c r="S234" s="2" t="str">
        <f t="shared" si="19"/>
        <v>OK</v>
      </c>
    </row>
    <row r="235" spans="1:19" x14ac:dyDescent="0.35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  <c r="O235" s="4">
        <f t="shared" si="15"/>
        <v>45689</v>
      </c>
      <c r="P235" s="2" t="str">
        <f t="shared" si="16"/>
        <v>2025-02</v>
      </c>
      <c r="Q235" s="2">
        <f t="shared" si="17"/>
        <v>135.93405562864123</v>
      </c>
      <c r="R235" s="5">
        <f t="shared" si="18"/>
        <v>0.17761342789352061</v>
      </c>
      <c r="S235" s="2" t="str">
        <f t="shared" si="19"/>
        <v>OK</v>
      </c>
    </row>
    <row r="236" spans="1:19" x14ac:dyDescent="0.35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  <c r="O236" s="4">
        <f t="shared" si="15"/>
        <v>45717</v>
      </c>
      <c r="P236" s="2" t="str">
        <f t="shared" si="16"/>
        <v>2025-03</v>
      </c>
      <c r="Q236" s="2">
        <f t="shared" si="17"/>
        <v>116.9312885563059</v>
      </c>
      <c r="R236" s="5">
        <f t="shared" si="18"/>
        <v>0.21059186594311397</v>
      </c>
      <c r="S236" s="2" t="str">
        <f t="shared" si="19"/>
        <v>OK</v>
      </c>
    </row>
    <row r="237" spans="1:19" x14ac:dyDescent="0.35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  <c r="O237" s="4">
        <f t="shared" si="15"/>
        <v>45748</v>
      </c>
      <c r="P237" s="2" t="str">
        <f t="shared" si="16"/>
        <v>2025-04</v>
      </c>
      <c r="Q237" s="2">
        <f t="shared" si="17"/>
        <v>108.70959312692494</v>
      </c>
      <c r="R237" s="5">
        <f t="shared" si="18"/>
        <v>0.14932358774326474</v>
      </c>
      <c r="S237" s="2" t="str">
        <f t="shared" si="19"/>
        <v>OK</v>
      </c>
    </row>
    <row r="238" spans="1:19" x14ac:dyDescent="0.35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  <c r="O238" s="4">
        <f t="shared" si="15"/>
        <v>45658</v>
      </c>
      <c r="P238" s="2" t="str">
        <f t="shared" si="16"/>
        <v>2025-01</v>
      </c>
      <c r="Q238" s="2">
        <f t="shared" si="17"/>
        <v>72.777487888574882</v>
      </c>
      <c r="R238" s="5">
        <f t="shared" si="18"/>
        <v>0.15989231975648729</v>
      </c>
      <c r="S238" s="2" t="str">
        <f t="shared" si="19"/>
        <v>OK</v>
      </c>
    </row>
    <row r="239" spans="1:19" x14ac:dyDescent="0.35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  <c r="O239" s="4">
        <f t="shared" si="15"/>
        <v>45689</v>
      </c>
      <c r="P239" s="2" t="str">
        <f t="shared" si="16"/>
        <v>2025-02</v>
      </c>
      <c r="Q239" s="2">
        <f t="shared" si="17"/>
        <v>81.067929171668666</v>
      </c>
      <c r="R239" s="5">
        <f t="shared" si="18"/>
        <v>0.16228689494636561</v>
      </c>
      <c r="S239" s="2" t="str">
        <f t="shared" si="19"/>
        <v>OK</v>
      </c>
    </row>
    <row r="240" spans="1:19" x14ac:dyDescent="0.35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  <c r="O240" s="4">
        <f t="shared" si="15"/>
        <v>45717</v>
      </c>
      <c r="P240" s="2" t="str">
        <f t="shared" si="16"/>
        <v>2025-03</v>
      </c>
      <c r="Q240" s="2">
        <f t="shared" si="17"/>
        <v>78.532184085755517</v>
      </c>
      <c r="R240" s="5">
        <f t="shared" si="18"/>
        <v>0.14685684867523691</v>
      </c>
      <c r="S240" s="2" t="str">
        <f t="shared" si="19"/>
        <v>OK</v>
      </c>
    </row>
    <row r="241" spans="1:19" x14ac:dyDescent="0.35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  <c r="O241" s="4">
        <f t="shared" si="15"/>
        <v>45748</v>
      </c>
      <c r="P241" s="2" t="str">
        <f t="shared" si="16"/>
        <v>2025-04</v>
      </c>
      <c r="Q241" s="2">
        <f t="shared" si="17"/>
        <v>79.135729010092334</v>
      </c>
      <c r="R241" s="5">
        <f t="shared" si="18"/>
        <v>0.1595424332592047</v>
      </c>
      <c r="S241" s="2" t="str">
        <f t="shared" si="19"/>
        <v>OK</v>
      </c>
    </row>
    <row r="242" spans="1:19" x14ac:dyDescent="0.35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  <c r="O242" s="4">
        <f t="shared" si="15"/>
        <v>45658</v>
      </c>
      <c r="P242" s="2" t="str">
        <f t="shared" si="16"/>
        <v>2025-01</v>
      </c>
      <c r="Q242" s="2">
        <f t="shared" si="17"/>
        <v>96.460947237740541</v>
      </c>
      <c r="R242" s="5">
        <f t="shared" si="18"/>
        <v>0.13075835838042954</v>
      </c>
      <c r="S242" s="2" t="str">
        <f t="shared" si="19"/>
        <v>OK</v>
      </c>
    </row>
    <row r="243" spans="1:19" x14ac:dyDescent="0.35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  <c r="O243" s="4">
        <f t="shared" si="15"/>
        <v>45689</v>
      </c>
      <c r="P243" s="2" t="str">
        <f t="shared" si="16"/>
        <v>2025-02</v>
      </c>
      <c r="Q243" s="2">
        <f t="shared" si="17"/>
        <v>119.748125</v>
      </c>
      <c r="R243" s="5">
        <f t="shared" si="18"/>
        <v>0.15429542778063984</v>
      </c>
      <c r="S243" s="2" t="str">
        <f t="shared" si="19"/>
        <v>OK</v>
      </c>
    </row>
    <row r="244" spans="1:19" x14ac:dyDescent="0.35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  <c r="O244" s="4">
        <f t="shared" si="15"/>
        <v>45717</v>
      </c>
      <c r="P244" s="2" t="str">
        <f t="shared" si="16"/>
        <v>2025-03</v>
      </c>
      <c r="Q244" s="2">
        <f t="shared" si="17"/>
        <v>82.197267764986108</v>
      </c>
      <c r="R244" s="5">
        <f t="shared" si="18"/>
        <v>0.21710045838442835</v>
      </c>
      <c r="S244" s="2" t="str">
        <f t="shared" si="19"/>
        <v>OK</v>
      </c>
    </row>
    <row r="245" spans="1:19" x14ac:dyDescent="0.35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  <c r="O245" s="4">
        <f t="shared" si="15"/>
        <v>45748</v>
      </c>
      <c r="P245" s="2" t="str">
        <f t="shared" si="16"/>
        <v>2025-04</v>
      </c>
      <c r="Q245" s="2">
        <f t="shared" si="17"/>
        <v>95.347316341829085</v>
      </c>
      <c r="R245" s="5">
        <f t="shared" si="18"/>
        <v>0.23206783448480889</v>
      </c>
      <c r="S245" s="2" t="str">
        <f t="shared" si="19"/>
        <v>OK</v>
      </c>
    </row>
    <row r="246" spans="1:19" x14ac:dyDescent="0.35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  <c r="O246" s="4">
        <f t="shared" si="15"/>
        <v>45658</v>
      </c>
      <c r="P246" s="2" t="str">
        <f t="shared" si="16"/>
        <v>2025-01</v>
      </c>
      <c r="Q246" s="2">
        <f t="shared" si="17"/>
        <v>89.769608238191182</v>
      </c>
      <c r="R246" s="5">
        <f t="shared" si="18"/>
        <v>0.19914649056595493</v>
      </c>
      <c r="S246" s="2" t="str">
        <f t="shared" si="19"/>
        <v>OK</v>
      </c>
    </row>
    <row r="247" spans="1:19" x14ac:dyDescent="0.35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  <c r="O247" s="4">
        <f t="shared" si="15"/>
        <v>45689</v>
      </c>
      <c r="P247" s="2" t="str">
        <f t="shared" si="16"/>
        <v>2025-02</v>
      </c>
      <c r="Q247" s="2">
        <f t="shared" si="17"/>
        <v>85.935112790564517</v>
      </c>
      <c r="R247" s="5">
        <f t="shared" si="18"/>
        <v>0.17827201768957629</v>
      </c>
      <c r="S247" s="2" t="str">
        <f t="shared" si="19"/>
        <v>OK</v>
      </c>
    </row>
    <row r="248" spans="1:19" x14ac:dyDescent="0.35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  <c r="O248" s="4">
        <f t="shared" si="15"/>
        <v>45717</v>
      </c>
      <c r="P248" s="2" t="str">
        <f t="shared" si="16"/>
        <v>2025-03</v>
      </c>
      <c r="Q248" s="2">
        <f t="shared" si="17"/>
        <v>92.111589368049906</v>
      </c>
      <c r="R248" s="5">
        <f t="shared" si="18"/>
        <v>0.15742450217883211</v>
      </c>
      <c r="S248" s="2" t="str">
        <f t="shared" si="19"/>
        <v>OK</v>
      </c>
    </row>
    <row r="249" spans="1:19" x14ac:dyDescent="0.35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  <c r="O249" s="4">
        <f t="shared" si="15"/>
        <v>45748</v>
      </c>
      <c r="P249" s="2" t="str">
        <f t="shared" si="16"/>
        <v>2025-04</v>
      </c>
      <c r="Q249" s="2">
        <f t="shared" si="17"/>
        <v>83.740453257790364</v>
      </c>
      <c r="R249" s="5">
        <f t="shared" si="18"/>
        <v>0.12267726334164616</v>
      </c>
      <c r="S249" s="2" t="str">
        <f t="shared" si="19"/>
        <v>OK</v>
      </c>
    </row>
    <row r="250" spans="1:19" x14ac:dyDescent="0.35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  <c r="O250" s="4">
        <f t="shared" si="15"/>
        <v>45658</v>
      </c>
      <c r="P250" s="2" t="str">
        <f t="shared" si="16"/>
        <v>2025-01</v>
      </c>
      <c r="Q250" s="2">
        <f t="shared" si="17"/>
        <v>156.58933419354841</v>
      </c>
      <c r="R250" s="5">
        <f t="shared" si="18"/>
        <v>0.12280467270979786</v>
      </c>
      <c r="S250" s="2" t="str">
        <f t="shared" si="19"/>
        <v>OK</v>
      </c>
    </row>
    <row r="251" spans="1:19" x14ac:dyDescent="0.35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  <c r="O251" s="4">
        <f t="shared" si="15"/>
        <v>45689</v>
      </c>
      <c r="P251" s="2" t="str">
        <f t="shared" si="16"/>
        <v>2025-02</v>
      </c>
      <c r="Q251" s="2">
        <f t="shared" si="17"/>
        <v>111.49200693842151</v>
      </c>
      <c r="R251" s="5">
        <f t="shared" si="18"/>
        <v>0.20527710386077402</v>
      </c>
      <c r="S251" s="2" t="str">
        <f t="shared" si="19"/>
        <v>OK</v>
      </c>
    </row>
    <row r="252" spans="1:19" x14ac:dyDescent="0.35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  <c r="O252" s="4">
        <f t="shared" si="15"/>
        <v>45717</v>
      </c>
      <c r="P252" s="2" t="str">
        <f t="shared" si="16"/>
        <v>2025-03</v>
      </c>
      <c r="Q252" s="2">
        <f t="shared" si="17"/>
        <v>102.49189813350206</v>
      </c>
      <c r="R252" s="5">
        <f t="shared" si="18"/>
        <v>0.18287944859276845</v>
      </c>
      <c r="S252" s="2" t="str">
        <f t="shared" si="19"/>
        <v>OK</v>
      </c>
    </row>
    <row r="253" spans="1:19" x14ac:dyDescent="0.35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  <c r="O253" s="4">
        <f t="shared" si="15"/>
        <v>45748</v>
      </c>
      <c r="P253" s="2" t="str">
        <f t="shared" si="16"/>
        <v>2025-04</v>
      </c>
      <c r="Q253" s="2">
        <f t="shared" si="17"/>
        <v>106.64334064327485</v>
      </c>
      <c r="R253" s="5">
        <f t="shared" si="18"/>
        <v>0.12011164173854082</v>
      </c>
      <c r="S253" s="2" t="str">
        <f t="shared" si="19"/>
        <v>OK</v>
      </c>
    </row>
    <row r="254" spans="1:19" x14ac:dyDescent="0.35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  <c r="O254" s="4">
        <f t="shared" si="15"/>
        <v>45658</v>
      </c>
      <c r="P254" s="2" t="str">
        <f t="shared" si="16"/>
        <v>2025-01</v>
      </c>
      <c r="Q254" s="2">
        <f t="shared" si="17"/>
        <v>112.79106458271896</v>
      </c>
      <c r="R254" s="5">
        <f t="shared" si="18"/>
        <v>0.1938984559754964</v>
      </c>
      <c r="S254" s="2" t="str">
        <f t="shared" si="19"/>
        <v>OK</v>
      </c>
    </row>
    <row r="255" spans="1:19" x14ac:dyDescent="0.35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  <c r="O255" s="4">
        <f t="shared" si="15"/>
        <v>45689</v>
      </c>
      <c r="P255" s="2" t="str">
        <f t="shared" si="16"/>
        <v>2025-02</v>
      </c>
      <c r="Q255" s="2">
        <f t="shared" si="17"/>
        <v>116.5471032672112</v>
      </c>
      <c r="R255" s="5">
        <f t="shared" si="18"/>
        <v>0.18090756971048538</v>
      </c>
      <c r="S255" s="2" t="str">
        <f t="shared" si="19"/>
        <v>OK</v>
      </c>
    </row>
    <row r="256" spans="1:19" x14ac:dyDescent="0.35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  <c r="O256" s="4">
        <f t="shared" si="15"/>
        <v>45717</v>
      </c>
      <c r="P256" s="2" t="str">
        <f t="shared" si="16"/>
        <v>2025-03</v>
      </c>
      <c r="Q256" s="2">
        <f t="shared" si="17"/>
        <v>127.65104414110974</v>
      </c>
      <c r="R256" s="5">
        <f t="shared" si="18"/>
        <v>0.16595315289752574</v>
      </c>
      <c r="S256" s="2" t="str">
        <f t="shared" si="19"/>
        <v>OK</v>
      </c>
    </row>
    <row r="257" spans="1:19" x14ac:dyDescent="0.35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  <c r="O257" s="4">
        <f t="shared" si="15"/>
        <v>45748</v>
      </c>
      <c r="P257" s="2" t="str">
        <f t="shared" si="16"/>
        <v>2025-04</v>
      </c>
      <c r="Q257" s="2">
        <f t="shared" si="17"/>
        <v>105.82169345083808</v>
      </c>
      <c r="R257" s="5">
        <f t="shared" si="18"/>
        <v>0.17796782293065661</v>
      </c>
      <c r="S257" s="2" t="str">
        <f t="shared" si="19"/>
        <v>OK</v>
      </c>
    </row>
    <row r="258" spans="1:19" x14ac:dyDescent="0.35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  <c r="O258" s="4">
        <f t="shared" ref="O258:O321" si="20">B258</f>
        <v>45658</v>
      </c>
      <c r="P258" s="2" t="str">
        <f t="shared" ref="P258:P321" si="21">TEXT(O258,"yyyy-mm")</f>
        <v>2025-01</v>
      </c>
      <c r="Q258" s="2">
        <f t="shared" ref="Q258:Q321" si="22">IFERROR(M258/F258,"")</f>
        <v>102.89138028169015</v>
      </c>
      <c r="R258" s="5">
        <f t="shared" ref="R258:R321" si="23">IFERROR(N258/M258,"")</f>
        <v>0.15067942683377467</v>
      </c>
      <c r="S258" s="2" t="str">
        <f t="shared" ref="S258:S321" si="24">IF(OR(M258="",E258="",F258="",I258=""),"Check","OK")</f>
        <v>OK</v>
      </c>
    </row>
    <row r="259" spans="1:19" x14ac:dyDescent="0.35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  <c r="O259" s="4">
        <f t="shared" si="20"/>
        <v>45689</v>
      </c>
      <c r="P259" s="2" t="str">
        <f t="shared" si="21"/>
        <v>2025-02</v>
      </c>
      <c r="Q259" s="2">
        <f t="shared" si="22"/>
        <v>92.142604964351719</v>
      </c>
      <c r="R259" s="5">
        <f t="shared" si="23"/>
        <v>0.16657379838650063</v>
      </c>
      <c r="S259" s="2" t="str">
        <f t="shared" si="24"/>
        <v>OK</v>
      </c>
    </row>
    <row r="260" spans="1:19" x14ac:dyDescent="0.35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  <c r="O260" s="4">
        <f t="shared" si="20"/>
        <v>45717</v>
      </c>
      <c r="P260" s="2" t="str">
        <f t="shared" si="21"/>
        <v>2025-03</v>
      </c>
      <c r="Q260" s="2">
        <f t="shared" si="22"/>
        <v>86.415982163539496</v>
      </c>
      <c r="R260" s="5">
        <f t="shared" si="23"/>
        <v>0.12687438952991187</v>
      </c>
      <c r="S260" s="2" t="str">
        <f t="shared" si="24"/>
        <v>OK</v>
      </c>
    </row>
    <row r="261" spans="1:19" x14ac:dyDescent="0.35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  <c r="O261" s="4">
        <f t="shared" si="20"/>
        <v>45748</v>
      </c>
      <c r="P261" s="2" t="str">
        <f t="shared" si="21"/>
        <v>2025-04</v>
      </c>
      <c r="Q261" s="2">
        <f t="shared" si="22"/>
        <v>99.044196018376709</v>
      </c>
      <c r="R261" s="5">
        <f t="shared" si="23"/>
        <v>0.17996953062033758</v>
      </c>
      <c r="S261" s="2" t="str">
        <f t="shared" si="24"/>
        <v>OK</v>
      </c>
    </row>
    <row r="262" spans="1:19" x14ac:dyDescent="0.35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  <c r="O262" s="4">
        <f t="shared" si="20"/>
        <v>45658</v>
      </c>
      <c r="P262" s="2" t="str">
        <f t="shared" si="21"/>
        <v>2025-01</v>
      </c>
      <c r="Q262" s="2">
        <f t="shared" si="22"/>
        <v>173.56502133245814</v>
      </c>
      <c r="R262" s="5">
        <f t="shared" si="23"/>
        <v>0.12938616055263186</v>
      </c>
      <c r="S262" s="2" t="str">
        <f t="shared" si="24"/>
        <v>OK</v>
      </c>
    </row>
    <row r="263" spans="1:19" x14ac:dyDescent="0.35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  <c r="O263" s="4">
        <f t="shared" si="20"/>
        <v>45689</v>
      </c>
      <c r="P263" s="2" t="str">
        <f t="shared" si="21"/>
        <v>2025-02</v>
      </c>
      <c r="Q263" s="2">
        <f t="shared" si="22"/>
        <v>126.64673426719631</v>
      </c>
      <c r="R263" s="5">
        <f t="shared" si="23"/>
        <v>0.1001822480521834</v>
      </c>
      <c r="S263" s="2" t="str">
        <f t="shared" si="24"/>
        <v>OK</v>
      </c>
    </row>
    <row r="264" spans="1:19" x14ac:dyDescent="0.35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  <c r="O264" s="4">
        <f t="shared" si="20"/>
        <v>45717</v>
      </c>
      <c r="P264" s="2" t="str">
        <f t="shared" si="21"/>
        <v>2025-03</v>
      </c>
      <c r="Q264" s="2">
        <f t="shared" si="22"/>
        <v>138.23758669930641</v>
      </c>
      <c r="R264" s="5">
        <f t="shared" si="23"/>
        <v>0.16470512800552917</v>
      </c>
      <c r="S264" s="2" t="str">
        <f t="shared" si="24"/>
        <v>OK</v>
      </c>
    </row>
    <row r="265" spans="1:19" x14ac:dyDescent="0.35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  <c r="O265" s="4">
        <f t="shared" si="20"/>
        <v>45748</v>
      </c>
      <c r="P265" s="2" t="str">
        <f t="shared" si="21"/>
        <v>2025-04</v>
      </c>
      <c r="Q265" s="2">
        <f t="shared" si="22"/>
        <v>158.28275236200895</v>
      </c>
      <c r="R265" s="5">
        <f t="shared" si="23"/>
        <v>0.12395022013601573</v>
      </c>
      <c r="S265" s="2" t="str">
        <f t="shared" si="24"/>
        <v>OK</v>
      </c>
    </row>
    <row r="266" spans="1:19" x14ac:dyDescent="0.35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  <c r="O266" s="4">
        <f t="shared" si="20"/>
        <v>45658</v>
      </c>
      <c r="P266" s="2" t="str">
        <f t="shared" si="21"/>
        <v>2025-01</v>
      </c>
      <c r="Q266" s="2">
        <f t="shared" si="22"/>
        <v>96.803002457673401</v>
      </c>
      <c r="R266" s="5">
        <f t="shared" si="23"/>
        <v>0.17682761469248745</v>
      </c>
      <c r="S266" s="2" t="str">
        <f t="shared" si="24"/>
        <v>OK</v>
      </c>
    </row>
    <row r="267" spans="1:19" x14ac:dyDescent="0.35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  <c r="O267" s="4">
        <f t="shared" si="20"/>
        <v>45689</v>
      </c>
      <c r="P267" s="2" t="str">
        <f t="shared" si="21"/>
        <v>2025-02</v>
      </c>
      <c r="Q267" s="2">
        <f t="shared" si="22"/>
        <v>94.451093615450844</v>
      </c>
      <c r="R267" s="5">
        <f t="shared" si="23"/>
        <v>0.12534078523827011</v>
      </c>
      <c r="S267" s="2" t="str">
        <f t="shared" si="24"/>
        <v>OK</v>
      </c>
    </row>
    <row r="268" spans="1:19" x14ac:dyDescent="0.35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  <c r="O268" s="4">
        <f t="shared" si="20"/>
        <v>45717</v>
      </c>
      <c r="P268" s="2" t="str">
        <f t="shared" si="21"/>
        <v>2025-03</v>
      </c>
      <c r="Q268" s="2">
        <f t="shared" si="22"/>
        <v>93.560109173045547</v>
      </c>
      <c r="R268" s="5">
        <f t="shared" si="23"/>
        <v>0.15595053577781962</v>
      </c>
      <c r="S268" s="2" t="str">
        <f t="shared" si="24"/>
        <v>OK</v>
      </c>
    </row>
    <row r="269" spans="1:19" x14ac:dyDescent="0.35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  <c r="O269" s="4">
        <f t="shared" si="20"/>
        <v>45748</v>
      </c>
      <c r="P269" s="2" t="str">
        <f t="shared" si="21"/>
        <v>2025-04</v>
      </c>
      <c r="Q269" s="2">
        <f t="shared" si="22"/>
        <v>105.29396546961327</v>
      </c>
      <c r="R269" s="5">
        <f t="shared" si="23"/>
        <v>0.20877906265871196</v>
      </c>
      <c r="S269" s="2" t="str">
        <f t="shared" si="24"/>
        <v>OK</v>
      </c>
    </row>
    <row r="270" spans="1:19" x14ac:dyDescent="0.35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  <c r="O270" s="4">
        <f t="shared" si="20"/>
        <v>45658</v>
      </c>
      <c r="P270" s="2" t="str">
        <f t="shared" si="21"/>
        <v>2025-01</v>
      </c>
      <c r="Q270" s="2">
        <f t="shared" si="22"/>
        <v>82.045950074515645</v>
      </c>
      <c r="R270" s="5">
        <f t="shared" si="23"/>
        <v>0.1797798202905061</v>
      </c>
      <c r="S270" s="2" t="str">
        <f t="shared" si="24"/>
        <v>OK</v>
      </c>
    </row>
    <row r="271" spans="1:19" x14ac:dyDescent="0.35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  <c r="O271" s="4">
        <f t="shared" si="20"/>
        <v>45689</v>
      </c>
      <c r="P271" s="2" t="str">
        <f t="shared" si="21"/>
        <v>2025-02</v>
      </c>
      <c r="Q271" s="2">
        <f t="shared" si="22"/>
        <v>92.214337740084815</v>
      </c>
      <c r="R271" s="5">
        <f t="shared" si="23"/>
        <v>0.1636955023175263</v>
      </c>
      <c r="S271" s="2" t="str">
        <f t="shared" si="24"/>
        <v>OK</v>
      </c>
    </row>
    <row r="272" spans="1:19" x14ac:dyDescent="0.35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  <c r="O272" s="4">
        <f t="shared" si="20"/>
        <v>45717</v>
      </c>
      <c r="P272" s="2" t="str">
        <f t="shared" si="21"/>
        <v>2025-03</v>
      </c>
      <c r="Q272" s="2">
        <f t="shared" si="22"/>
        <v>78.469040423861856</v>
      </c>
      <c r="R272" s="5">
        <f t="shared" si="23"/>
        <v>0.13135615059614522</v>
      </c>
      <c r="S272" s="2" t="str">
        <f t="shared" si="24"/>
        <v>OK</v>
      </c>
    </row>
    <row r="273" spans="1:19" x14ac:dyDescent="0.35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  <c r="O273" s="4">
        <f t="shared" si="20"/>
        <v>45748</v>
      </c>
      <c r="P273" s="2" t="str">
        <f t="shared" si="21"/>
        <v>2025-04</v>
      </c>
      <c r="Q273" s="2">
        <f t="shared" si="22"/>
        <v>79.686140209508466</v>
      </c>
      <c r="R273" s="5">
        <f t="shared" si="23"/>
        <v>0.13960262445162411</v>
      </c>
      <c r="S273" s="2" t="str">
        <f t="shared" si="24"/>
        <v>OK</v>
      </c>
    </row>
    <row r="274" spans="1:19" x14ac:dyDescent="0.35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  <c r="O274" s="4">
        <f t="shared" si="20"/>
        <v>45658</v>
      </c>
      <c r="P274" s="2" t="str">
        <f t="shared" si="21"/>
        <v>2025-01</v>
      </c>
      <c r="Q274" s="2">
        <f t="shared" si="22"/>
        <v>113.38371770082615</v>
      </c>
      <c r="R274" s="5">
        <f t="shared" si="23"/>
        <v>0.12881888544054101</v>
      </c>
      <c r="S274" s="2" t="str">
        <f t="shared" si="24"/>
        <v>OK</v>
      </c>
    </row>
    <row r="275" spans="1:19" x14ac:dyDescent="0.35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  <c r="O275" s="4">
        <f t="shared" si="20"/>
        <v>45689</v>
      </c>
      <c r="P275" s="2" t="str">
        <f t="shared" si="21"/>
        <v>2025-02</v>
      </c>
      <c r="Q275" s="2">
        <f t="shared" si="22"/>
        <v>168.85067047504509</v>
      </c>
      <c r="R275" s="5">
        <f t="shared" si="23"/>
        <v>0.13367718468319642</v>
      </c>
      <c r="S275" s="2" t="str">
        <f t="shared" si="24"/>
        <v>OK</v>
      </c>
    </row>
    <row r="276" spans="1:19" x14ac:dyDescent="0.35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  <c r="O276" s="4">
        <f t="shared" si="20"/>
        <v>45717</v>
      </c>
      <c r="P276" s="2" t="str">
        <f t="shared" si="21"/>
        <v>2025-03</v>
      </c>
      <c r="Q276" s="2">
        <f t="shared" si="22"/>
        <v>110.25450667591468</v>
      </c>
      <c r="R276" s="5">
        <f t="shared" si="23"/>
        <v>0.18045585026142047</v>
      </c>
      <c r="S276" s="2" t="str">
        <f t="shared" si="24"/>
        <v>OK</v>
      </c>
    </row>
    <row r="277" spans="1:19" x14ac:dyDescent="0.35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  <c r="O277" s="4">
        <f t="shared" si="20"/>
        <v>45748</v>
      </c>
      <c r="P277" s="2" t="str">
        <f t="shared" si="21"/>
        <v>2025-04</v>
      </c>
      <c r="Q277" s="2">
        <f t="shared" si="22"/>
        <v>116.53451043611064</v>
      </c>
      <c r="R277" s="5">
        <f t="shared" si="23"/>
        <v>0.12208394740193955</v>
      </c>
      <c r="S277" s="2" t="str">
        <f t="shared" si="24"/>
        <v>OK</v>
      </c>
    </row>
    <row r="278" spans="1:19" x14ac:dyDescent="0.35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  <c r="O278" s="4">
        <f t="shared" si="20"/>
        <v>45658</v>
      </c>
      <c r="P278" s="2" t="str">
        <f t="shared" si="21"/>
        <v>2025-01</v>
      </c>
      <c r="Q278" s="2">
        <f t="shared" si="22"/>
        <v>78.593687529191968</v>
      </c>
      <c r="R278" s="5">
        <f t="shared" si="23"/>
        <v>0.13950833571122109</v>
      </c>
      <c r="S278" s="2" t="str">
        <f t="shared" si="24"/>
        <v>OK</v>
      </c>
    </row>
    <row r="279" spans="1:19" x14ac:dyDescent="0.35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  <c r="O279" s="4">
        <f t="shared" si="20"/>
        <v>45689</v>
      </c>
      <c r="P279" s="2" t="str">
        <f t="shared" si="21"/>
        <v>2025-02</v>
      </c>
      <c r="Q279" s="2">
        <f t="shared" si="22"/>
        <v>92.307014123234595</v>
      </c>
      <c r="R279" s="5">
        <f t="shared" si="23"/>
        <v>0.18181985955639846</v>
      </c>
      <c r="S279" s="2" t="str">
        <f t="shared" si="24"/>
        <v>OK</v>
      </c>
    </row>
    <row r="280" spans="1:19" x14ac:dyDescent="0.35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  <c r="O280" s="4">
        <f t="shared" si="20"/>
        <v>45717</v>
      </c>
      <c r="P280" s="2" t="str">
        <f t="shared" si="21"/>
        <v>2025-03</v>
      </c>
      <c r="Q280" s="2">
        <f t="shared" si="22"/>
        <v>81.147551480051476</v>
      </c>
      <c r="R280" s="5">
        <f t="shared" si="23"/>
        <v>0.14810304256258067</v>
      </c>
      <c r="S280" s="2" t="str">
        <f t="shared" si="24"/>
        <v>OK</v>
      </c>
    </row>
    <row r="281" spans="1:19" x14ac:dyDescent="0.35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  <c r="O281" s="4">
        <f t="shared" si="20"/>
        <v>45748</v>
      </c>
      <c r="P281" s="2" t="str">
        <f t="shared" si="21"/>
        <v>2025-04</v>
      </c>
      <c r="Q281" s="2">
        <f t="shared" si="22"/>
        <v>83.557187397079815</v>
      </c>
      <c r="R281" s="5">
        <f t="shared" si="23"/>
        <v>0.19681727415150904</v>
      </c>
      <c r="S281" s="2" t="str">
        <f t="shared" si="24"/>
        <v>OK</v>
      </c>
    </row>
    <row r="282" spans="1:19" x14ac:dyDescent="0.35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  <c r="O282" s="4">
        <f t="shared" si="20"/>
        <v>45658</v>
      </c>
      <c r="P282" s="2" t="str">
        <f t="shared" si="21"/>
        <v>2025-01</v>
      </c>
      <c r="Q282" s="2">
        <f t="shared" si="22"/>
        <v>130.50710343112877</v>
      </c>
      <c r="R282" s="5">
        <f t="shared" si="23"/>
        <v>0.12120410005289205</v>
      </c>
      <c r="S282" s="2" t="str">
        <f t="shared" si="24"/>
        <v>OK</v>
      </c>
    </row>
    <row r="283" spans="1:19" x14ac:dyDescent="0.35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  <c r="O283" s="4">
        <f t="shared" si="20"/>
        <v>45689</v>
      </c>
      <c r="P283" s="2" t="str">
        <f t="shared" si="21"/>
        <v>2025-02</v>
      </c>
      <c r="Q283" s="2">
        <f t="shared" si="22"/>
        <v>127.56780022962113</v>
      </c>
      <c r="R283" s="5">
        <f t="shared" si="23"/>
        <v>0.15565529755798391</v>
      </c>
      <c r="S283" s="2" t="str">
        <f t="shared" si="24"/>
        <v>OK</v>
      </c>
    </row>
    <row r="284" spans="1:19" x14ac:dyDescent="0.35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  <c r="O284" s="4">
        <f t="shared" si="20"/>
        <v>45717</v>
      </c>
      <c r="P284" s="2" t="str">
        <f t="shared" si="21"/>
        <v>2025-03</v>
      </c>
      <c r="Q284" s="2">
        <f t="shared" si="22"/>
        <v>124.29655004351611</v>
      </c>
      <c r="R284" s="5">
        <f t="shared" si="23"/>
        <v>0.17817483239499327</v>
      </c>
      <c r="S284" s="2" t="str">
        <f t="shared" si="24"/>
        <v>OK</v>
      </c>
    </row>
    <row r="285" spans="1:19" x14ac:dyDescent="0.35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  <c r="O285" s="4">
        <f t="shared" si="20"/>
        <v>45748</v>
      </c>
      <c r="P285" s="2" t="str">
        <f t="shared" si="21"/>
        <v>2025-04</v>
      </c>
      <c r="Q285" s="2">
        <f t="shared" si="22"/>
        <v>164.33426494879419</v>
      </c>
      <c r="R285" s="5">
        <f t="shared" si="23"/>
        <v>0.18770662549692946</v>
      </c>
      <c r="S285" s="2" t="str">
        <f t="shared" si="24"/>
        <v>OK</v>
      </c>
    </row>
    <row r="286" spans="1:19" x14ac:dyDescent="0.35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  <c r="O286" s="4">
        <f t="shared" si="20"/>
        <v>45658</v>
      </c>
      <c r="P286" s="2" t="str">
        <f t="shared" si="21"/>
        <v>2025-01</v>
      </c>
      <c r="Q286" s="2">
        <f t="shared" si="22"/>
        <v>114.48681409564905</v>
      </c>
      <c r="R286" s="5">
        <f t="shared" si="23"/>
        <v>0.19259037005277493</v>
      </c>
      <c r="S286" s="2" t="str">
        <f t="shared" si="24"/>
        <v>OK</v>
      </c>
    </row>
    <row r="287" spans="1:19" x14ac:dyDescent="0.35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  <c r="O287" s="4">
        <f t="shared" si="20"/>
        <v>45689</v>
      </c>
      <c r="P287" s="2" t="str">
        <f t="shared" si="21"/>
        <v>2025-02</v>
      </c>
      <c r="Q287" s="2">
        <f t="shared" si="22"/>
        <v>141.07633831067528</v>
      </c>
      <c r="R287" s="5">
        <f t="shared" si="23"/>
        <v>0.19554629769949908</v>
      </c>
      <c r="S287" s="2" t="str">
        <f t="shared" si="24"/>
        <v>OK</v>
      </c>
    </row>
    <row r="288" spans="1:19" x14ac:dyDescent="0.35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  <c r="O288" s="4">
        <f t="shared" si="20"/>
        <v>45717</v>
      </c>
      <c r="P288" s="2" t="str">
        <f t="shared" si="21"/>
        <v>2025-03</v>
      </c>
      <c r="Q288" s="2">
        <f t="shared" si="22"/>
        <v>146.551898125901</v>
      </c>
      <c r="R288" s="5">
        <f t="shared" si="23"/>
        <v>0.20786860868695581</v>
      </c>
      <c r="S288" s="2" t="str">
        <f t="shared" si="24"/>
        <v>OK</v>
      </c>
    </row>
    <row r="289" spans="1:19" x14ac:dyDescent="0.35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  <c r="O289" s="4">
        <f t="shared" si="20"/>
        <v>45748</v>
      </c>
      <c r="P289" s="2" t="str">
        <f t="shared" si="21"/>
        <v>2025-04</v>
      </c>
      <c r="Q289" s="2">
        <f t="shared" si="22"/>
        <v>133.87975085490962</v>
      </c>
      <c r="R289" s="5">
        <f t="shared" si="23"/>
        <v>0.18227485054379311</v>
      </c>
      <c r="S289" s="2" t="str">
        <f t="shared" si="24"/>
        <v>OK</v>
      </c>
    </row>
    <row r="290" spans="1:19" x14ac:dyDescent="0.35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  <c r="O290" s="4">
        <f t="shared" si="20"/>
        <v>45658</v>
      </c>
      <c r="P290" s="2" t="str">
        <f t="shared" si="21"/>
        <v>2025-01</v>
      </c>
      <c r="Q290" s="2">
        <f t="shared" si="22"/>
        <v>85.976475719000476</v>
      </c>
      <c r="R290" s="5">
        <f t="shared" si="23"/>
        <v>0.10363277939063241</v>
      </c>
      <c r="S290" s="2" t="str">
        <f t="shared" si="24"/>
        <v>OK</v>
      </c>
    </row>
    <row r="291" spans="1:19" x14ac:dyDescent="0.35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  <c r="O291" s="4">
        <f t="shared" si="20"/>
        <v>45689</v>
      </c>
      <c r="P291" s="2" t="str">
        <f t="shared" si="21"/>
        <v>2025-02</v>
      </c>
      <c r="Q291" s="2">
        <f t="shared" si="22"/>
        <v>89.333011290736465</v>
      </c>
      <c r="R291" s="5">
        <f t="shared" si="23"/>
        <v>0.10406341732328181</v>
      </c>
      <c r="S291" s="2" t="str">
        <f t="shared" si="24"/>
        <v>OK</v>
      </c>
    </row>
    <row r="292" spans="1:19" x14ac:dyDescent="0.35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  <c r="O292" s="4">
        <f t="shared" si="20"/>
        <v>45717</v>
      </c>
      <c r="P292" s="2" t="str">
        <f t="shared" si="21"/>
        <v>2025-03</v>
      </c>
      <c r="Q292" s="2">
        <f t="shared" si="22"/>
        <v>97.989965060240962</v>
      </c>
      <c r="R292" s="5">
        <f t="shared" si="23"/>
        <v>0.13534385639267144</v>
      </c>
      <c r="S292" s="2" t="str">
        <f t="shared" si="24"/>
        <v>OK</v>
      </c>
    </row>
    <row r="293" spans="1:19" x14ac:dyDescent="0.35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  <c r="O293" s="4">
        <f t="shared" si="20"/>
        <v>45748</v>
      </c>
      <c r="P293" s="2" t="str">
        <f t="shared" si="21"/>
        <v>2025-04</v>
      </c>
      <c r="Q293" s="2">
        <f t="shared" si="22"/>
        <v>99.120276718904421</v>
      </c>
      <c r="R293" s="5">
        <f t="shared" si="23"/>
        <v>0.15848391351663879</v>
      </c>
      <c r="S293" s="2" t="str">
        <f t="shared" si="24"/>
        <v>OK</v>
      </c>
    </row>
    <row r="294" spans="1:19" x14ac:dyDescent="0.35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  <c r="O294" s="4">
        <f t="shared" si="20"/>
        <v>45658</v>
      </c>
      <c r="P294" s="2" t="str">
        <f t="shared" si="21"/>
        <v>2025-01</v>
      </c>
      <c r="Q294" s="2">
        <f t="shared" si="22"/>
        <v>142.46836202399581</v>
      </c>
      <c r="R294" s="5">
        <f t="shared" si="23"/>
        <v>0.184483335307494</v>
      </c>
      <c r="S294" s="2" t="str">
        <f t="shared" si="24"/>
        <v>OK</v>
      </c>
    </row>
    <row r="295" spans="1:19" x14ac:dyDescent="0.35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  <c r="O295" s="4">
        <f t="shared" si="20"/>
        <v>45689</v>
      </c>
      <c r="P295" s="2" t="str">
        <f t="shared" si="21"/>
        <v>2025-02</v>
      </c>
      <c r="Q295" s="2">
        <f t="shared" si="22"/>
        <v>226.09044105173876</v>
      </c>
      <c r="R295" s="5">
        <f t="shared" si="23"/>
        <v>0.10328492620984576</v>
      </c>
      <c r="S295" s="2" t="str">
        <f t="shared" si="24"/>
        <v>OK</v>
      </c>
    </row>
    <row r="296" spans="1:19" x14ac:dyDescent="0.35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  <c r="O296" s="4">
        <f t="shared" si="20"/>
        <v>45717</v>
      </c>
      <c r="P296" s="2" t="str">
        <f t="shared" si="21"/>
        <v>2025-03</v>
      </c>
      <c r="Q296" s="2">
        <f t="shared" si="22"/>
        <v>405.33738424045492</v>
      </c>
      <c r="R296" s="5">
        <f t="shared" si="23"/>
        <v>0.13960088848571192</v>
      </c>
      <c r="S296" s="2" t="str">
        <f t="shared" si="24"/>
        <v>OK</v>
      </c>
    </row>
    <row r="297" spans="1:19" x14ac:dyDescent="0.35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  <c r="O297" s="4">
        <f t="shared" si="20"/>
        <v>45748</v>
      </c>
      <c r="P297" s="2" t="str">
        <f t="shared" si="21"/>
        <v>2025-04</v>
      </c>
      <c r="Q297" s="2">
        <f t="shared" si="22"/>
        <v>283.07502031340687</v>
      </c>
      <c r="R297" s="5">
        <f t="shared" si="23"/>
        <v>0.19771998202478519</v>
      </c>
      <c r="S297" s="2" t="str">
        <f t="shared" si="24"/>
        <v>OK</v>
      </c>
    </row>
    <row r="298" spans="1:19" x14ac:dyDescent="0.35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  <c r="O298" s="4">
        <f t="shared" si="20"/>
        <v>45658</v>
      </c>
      <c r="P298" s="2" t="str">
        <f t="shared" si="21"/>
        <v>2025-01</v>
      </c>
      <c r="Q298" s="2">
        <f t="shared" si="22"/>
        <v>113.37506275440977</v>
      </c>
      <c r="R298" s="5">
        <f t="shared" si="23"/>
        <v>0.18914451000963603</v>
      </c>
      <c r="S298" s="2" t="str">
        <f t="shared" si="24"/>
        <v>OK</v>
      </c>
    </row>
    <row r="299" spans="1:19" x14ac:dyDescent="0.35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  <c r="O299" s="4">
        <f t="shared" si="20"/>
        <v>45689</v>
      </c>
      <c r="P299" s="2" t="str">
        <f t="shared" si="21"/>
        <v>2025-02</v>
      </c>
      <c r="Q299" s="2">
        <f t="shared" si="22"/>
        <v>129.28383025580212</v>
      </c>
      <c r="R299" s="5">
        <f t="shared" si="23"/>
        <v>0.21296127711734245</v>
      </c>
      <c r="S299" s="2" t="str">
        <f t="shared" si="24"/>
        <v>OK</v>
      </c>
    </row>
    <row r="300" spans="1:19" x14ac:dyDescent="0.35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  <c r="O300" s="4">
        <f t="shared" si="20"/>
        <v>45717</v>
      </c>
      <c r="P300" s="2" t="str">
        <f t="shared" si="21"/>
        <v>2025-03</v>
      </c>
      <c r="Q300" s="2">
        <f t="shared" si="22"/>
        <v>122.29835238873008</v>
      </c>
      <c r="R300" s="5">
        <f t="shared" si="23"/>
        <v>0.22371626543759598</v>
      </c>
      <c r="S300" s="2" t="str">
        <f t="shared" si="24"/>
        <v>OK</v>
      </c>
    </row>
    <row r="301" spans="1:19" x14ac:dyDescent="0.35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  <c r="O301" s="4">
        <f t="shared" si="20"/>
        <v>45748</v>
      </c>
      <c r="P301" s="2" t="str">
        <f t="shared" si="21"/>
        <v>2025-04</v>
      </c>
      <c r="Q301" s="2">
        <f t="shared" si="22"/>
        <v>274.68028727770178</v>
      </c>
      <c r="R301" s="5">
        <f t="shared" si="23"/>
        <v>0.17046289707088388</v>
      </c>
      <c r="S301" s="2" t="str">
        <f t="shared" si="24"/>
        <v>OK</v>
      </c>
    </row>
    <row r="302" spans="1:19" x14ac:dyDescent="0.35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  <c r="O302" s="4">
        <f t="shared" si="20"/>
        <v>45658</v>
      </c>
      <c r="P302" s="2" t="str">
        <f t="shared" si="21"/>
        <v>2025-01</v>
      </c>
      <c r="Q302" s="2">
        <f t="shared" si="22"/>
        <v>85.289989093553075</v>
      </c>
      <c r="R302" s="5">
        <f t="shared" si="23"/>
        <v>0.18979186502369047</v>
      </c>
      <c r="S302" s="2" t="str">
        <f t="shared" si="24"/>
        <v>OK</v>
      </c>
    </row>
    <row r="303" spans="1:19" x14ac:dyDescent="0.35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  <c r="O303" s="4">
        <f t="shared" si="20"/>
        <v>45689</v>
      </c>
      <c r="P303" s="2" t="str">
        <f t="shared" si="21"/>
        <v>2025-02</v>
      </c>
      <c r="Q303" s="2">
        <f t="shared" si="22"/>
        <v>90.668009763424706</v>
      </c>
      <c r="R303" s="5">
        <f t="shared" si="23"/>
        <v>0.21400512155276799</v>
      </c>
      <c r="S303" s="2" t="str">
        <f t="shared" si="24"/>
        <v>OK</v>
      </c>
    </row>
    <row r="304" spans="1:19" x14ac:dyDescent="0.35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  <c r="O304" s="4">
        <f t="shared" si="20"/>
        <v>45717</v>
      </c>
      <c r="P304" s="2" t="str">
        <f t="shared" si="21"/>
        <v>2025-03</v>
      </c>
      <c r="Q304" s="2">
        <f t="shared" si="22"/>
        <v>88.399856071601363</v>
      </c>
      <c r="R304" s="5">
        <f t="shared" si="23"/>
        <v>0.14434806681787865</v>
      </c>
      <c r="S304" s="2" t="str">
        <f t="shared" si="24"/>
        <v>OK</v>
      </c>
    </row>
    <row r="305" spans="1:19" x14ac:dyDescent="0.35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  <c r="O305" s="4">
        <f t="shared" si="20"/>
        <v>45748</v>
      </c>
      <c r="P305" s="2" t="str">
        <f t="shared" si="21"/>
        <v>2025-04</v>
      </c>
      <c r="Q305" s="2">
        <f t="shared" si="22"/>
        <v>95.390559696932655</v>
      </c>
      <c r="R305" s="5">
        <f t="shared" si="23"/>
        <v>0.17697646861609934</v>
      </c>
      <c r="S305" s="2" t="str">
        <f t="shared" si="24"/>
        <v>OK</v>
      </c>
    </row>
    <row r="306" spans="1:19" x14ac:dyDescent="0.35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  <c r="O306" s="4">
        <f t="shared" si="20"/>
        <v>45658</v>
      </c>
      <c r="P306" s="2" t="str">
        <f t="shared" si="21"/>
        <v>2025-01</v>
      </c>
      <c r="Q306" s="2">
        <f t="shared" si="22"/>
        <v>111.41069482705846</v>
      </c>
      <c r="R306" s="5">
        <f t="shared" si="23"/>
        <v>0.10276043870034826</v>
      </c>
      <c r="S306" s="2" t="str">
        <f t="shared" si="24"/>
        <v>OK</v>
      </c>
    </row>
    <row r="307" spans="1:19" x14ac:dyDescent="0.35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  <c r="O307" s="4">
        <f t="shared" si="20"/>
        <v>45689</v>
      </c>
      <c r="P307" s="2" t="str">
        <f t="shared" si="21"/>
        <v>2025-02</v>
      </c>
      <c r="Q307" s="2">
        <f t="shared" si="22"/>
        <v>92.759476223294286</v>
      </c>
      <c r="R307" s="5">
        <f t="shared" si="23"/>
        <v>0.16272200098072723</v>
      </c>
      <c r="S307" s="2" t="str">
        <f t="shared" si="24"/>
        <v>OK</v>
      </c>
    </row>
    <row r="308" spans="1:19" x14ac:dyDescent="0.35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  <c r="O308" s="4">
        <f t="shared" si="20"/>
        <v>45717</v>
      </c>
      <c r="P308" s="2" t="str">
        <f t="shared" si="21"/>
        <v>2025-03</v>
      </c>
      <c r="Q308" s="2">
        <f t="shared" si="22"/>
        <v>105.59315822885256</v>
      </c>
      <c r="R308" s="5">
        <f t="shared" si="23"/>
        <v>0.14044166937241601</v>
      </c>
      <c r="S308" s="2" t="str">
        <f t="shared" si="24"/>
        <v>OK</v>
      </c>
    </row>
    <row r="309" spans="1:19" x14ac:dyDescent="0.35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  <c r="O309" s="4">
        <f t="shared" si="20"/>
        <v>45748</v>
      </c>
      <c r="P309" s="2" t="str">
        <f t="shared" si="21"/>
        <v>2025-04</v>
      </c>
      <c r="Q309" s="2">
        <f t="shared" si="22"/>
        <v>101.7603031723707</v>
      </c>
      <c r="R309" s="5">
        <f t="shared" si="23"/>
        <v>0.16810890918477731</v>
      </c>
      <c r="S309" s="2" t="str">
        <f t="shared" si="24"/>
        <v>OK</v>
      </c>
    </row>
    <row r="310" spans="1:19" x14ac:dyDescent="0.35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  <c r="O310" s="4">
        <f t="shared" si="20"/>
        <v>45658</v>
      </c>
      <c r="P310" s="2" t="str">
        <f t="shared" si="21"/>
        <v>2025-01</v>
      </c>
      <c r="Q310" s="2">
        <f t="shared" si="22"/>
        <v>109.14018058690746</v>
      </c>
      <c r="R310" s="5">
        <f t="shared" si="23"/>
        <v>0.17900126372569497</v>
      </c>
      <c r="S310" s="2" t="str">
        <f t="shared" si="24"/>
        <v>OK</v>
      </c>
    </row>
    <row r="311" spans="1:19" x14ac:dyDescent="0.35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  <c r="O311" s="4">
        <f t="shared" si="20"/>
        <v>45689</v>
      </c>
      <c r="P311" s="2" t="str">
        <f t="shared" si="21"/>
        <v>2025-02</v>
      </c>
      <c r="Q311" s="2">
        <f t="shared" si="22"/>
        <v>101.51841816461683</v>
      </c>
      <c r="R311" s="5">
        <f t="shared" si="23"/>
        <v>0.1728772520578917</v>
      </c>
      <c r="S311" s="2" t="str">
        <f t="shared" si="24"/>
        <v>OK</v>
      </c>
    </row>
    <row r="312" spans="1:19" x14ac:dyDescent="0.35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  <c r="O312" s="4">
        <f t="shared" si="20"/>
        <v>45717</v>
      </c>
      <c r="P312" s="2" t="str">
        <f t="shared" si="21"/>
        <v>2025-03</v>
      </c>
      <c r="Q312" s="2">
        <f t="shared" si="22"/>
        <v>114.40509753404491</v>
      </c>
      <c r="R312" s="5">
        <f t="shared" si="23"/>
        <v>0.16920759371461688</v>
      </c>
      <c r="S312" s="2" t="str">
        <f t="shared" si="24"/>
        <v>OK</v>
      </c>
    </row>
    <row r="313" spans="1:19" x14ac:dyDescent="0.35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  <c r="O313" s="4">
        <f t="shared" si="20"/>
        <v>45748</v>
      </c>
      <c r="P313" s="2" t="str">
        <f t="shared" si="21"/>
        <v>2025-04</v>
      </c>
      <c r="Q313" s="2">
        <f t="shared" si="22"/>
        <v>103.10590586976868</v>
      </c>
      <c r="R313" s="5">
        <f t="shared" si="23"/>
        <v>0.15153251841484852</v>
      </c>
      <c r="S313" s="2" t="str">
        <f t="shared" si="24"/>
        <v>OK</v>
      </c>
    </row>
    <row r="314" spans="1:19" x14ac:dyDescent="0.35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  <c r="O314" s="4">
        <f t="shared" si="20"/>
        <v>45658</v>
      </c>
      <c r="P314" s="2" t="str">
        <f t="shared" si="21"/>
        <v>2025-01</v>
      </c>
      <c r="Q314" s="2">
        <f t="shared" si="22"/>
        <v>113.89559863724854</v>
      </c>
      <c r="R314" s="5">
        <f t="shared" si="23"/>
        <v>0.17339517372540544</v>
      </c>
      <c r="S314" s="2" t="str">
        <f t="shared" si="24"/>
        <v>OK</v>
      </c>
    </row>
    <row r="315" spans="1:19" x14ac:dyDescent="0.35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  <c r="O315" s="4">
        <f t="shared" si="20"/>
        <v>45689</v>
      </c>
      <c r="P315" s="2" t="str">
        <f t="shared" si="21"/>
        <v>2025-02</v>
      </c>
      <c r="Q315" s="2">
        <f t="shared" si="22"/>
        <v>86.337446381537688</v>
      </c>
      <c r="R315" s="5">
        <f t="shared" si="23"/>
        <v>0.13595686821560651</v>
      </c>
      <c r="S315" s="2" t="str">
        <f t="shared" si="24"/>
        <v>OK</v>
      </c>
    </row>
    <row r="316" spans="1:19" x14ac:dyDescent="0.35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  <c r="O316" s="4">
        <f t="shared" si="20"/>
        <v>45717</v>
      </c>
      <c r="P316" s="2" t="str">
        <f t="shared" si="21"/>
        <v>2025-03</v>
      </c>
      <c r="Q316" s="2">
        <f t="shared" si="22"/>
        <v>118.72929500000001</v>
      </c>
      <c r="R316" s="5">
        <f t="shared" si="23"/>
        <v>0.14623115269627993</v>
      </c>
      <c r="S316" s="2" t="str">
        <f t="shared" si="24"/>
        <v>OK</v>
      </c>
    </row>
    <row r="317" spans="1:19" x14ac:dyDescent="0.35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  <c r="O317" s="4">
        <f t="shared" si="20"/>
        <v>45748</v>
      </c>
      <c r="P317" s="2" t="str">
        <f t="shared" si="21"/>
        <v>2025-04</v>
      </c>
      <c r="Q317" s="2">
        <f t="shared" si="22"/>
        <v>84.750744456707139</v>
      </c>
      <c r="R317" s="5">
        <f t="shared" si="23"/>
        <v>0.16235166059877046</v>
      </c>
      <c r="S317" s="2" t="str">
        <f t="shared" si="24"/>
        <v>OK</v>
      </c>
    </row>
    <row r="318" spans="1:19" x14ac:dyDescent="0.35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  <c r="O318" s="4">
        <f t="shared" si="20"/>
        <v>45658</v>
      </c>
      <c r="P318" s="2" t="str">
        <f t="shared" si="21"/>
        <v>2025-01</v>
      </c>
      <c r="Q318" s="2">
        <f t="shared" si="22"/>
        <v>109.99542472069515</v>
      </c>
      <c r="R318" s="5">
        <f t="shared" si="23"/>
        <v>0.14730116618047601</v>
      </c>
      <c r="S318" s="2" t="str">
        <f t="shared" si="24"/>
        <v>OK</v>
      </c>
    </row>
    <row r="319" spans="1:19" x14ac:dyDescent="0.35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  <c r="O319" s="4">
        <f t="shared" si="20"/>
        <v>45689</v>
      </c>
      <c r="P319" s="2" t="str">
        <f t="shared" si="21"/>
        <v>2025-02</v>
      </c>
      <c r="Q319" s="2">
        <f t="shared" si="22"/>
        <v>154.8890421234853</v>
      </c>
      <c r="R319" s="5">
        <f t="shared" si="23"/>
        <v>0.20019496487461882</v>
      </c>
      <c r="S319" s="2" t="str">
        <f t="shared" si="24"/>
        <v>OK</v>
      </c>
    </row>
    <row r="320" spans="1:19" x14ac:dyDescent="0.35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  <c r="O320" s="4">
        <f t="shared" si="20"/>
        <v>45717</v>
      </c>
      <c r="P320" s="2" t="str">
        <f t="shared" si="21"/>
        <v>2025-03</v>
      </c>
      <c r="Q320" s="2">
        <f t="shared" si="22"/>
        <v>93.476041157556267</v>
      </c>
      <c r="R320" s="5">
        <f t="shared" si="23"/>
        <v>0.1249414709798843</v>
      </c>
      <c r="S320" s="2" t="str">
        <f t="shared" si="24"/>
        <v>OK</v>
      </c>
    </row>
    <row r="321" spans="1:19" x14ac:dyDescent="0.35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  <c r="O321" s="4">
        <f t="shared" si="20"/>
        <v>45748</v>
      </c>
      <c r="P321" s="2" t="str">
        <f t="shared" si="21"/>
        <v>2025-04</v>
      </c>
      <c r="Q321" s="2">
        <f t="shared" si="22"/>
        <v>105.25876246003385</v>
      </c>
      <c r="R321" s="5">
        <f t="shared" si="23"/>
        <v>0.12765518845306384</v>
      </c>
      <c r="S321" s="2" t="str">
        <f t="shared" si="24"/>
        <v>OK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2" width="29" customWidth="1"/>
    <col min="13" max="13" width="26" customWidth="1"/>
    <col min="14" max="14" width="30" customWidth="1"/>
    <col min="15" max="15" width="23" customWidth="1"/>
  </cols>
  <sheetData>
    <row r="1" spans="1:15" x14ac:dyDescent="0.35">
      <c r="A1" s="1" t="s">
        <v>0</v>
      </c>
      <c r="B1" s="1" t="s">
        <v>103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107</v>
      </c>
      <c r="N1" s="1" t="s">
        <v>108</v>
      </c>
      <c r="O1" s="1" t="s">
        <v>109</v>
      </c>
    </row>
    <row r="2" spans="1:15" x14ac:dyDescent="0.35">
      <c r="A2" s="2" t="str">
        <f>Cleaned_Prepared_Data!A2</f>
        <v>STR-1001</v>
      </c>
      <c r="B2" s="2" t="str">
        <f>Cleaned_Prepared_Data!P2</f>
        <v>2025-01</v>
      </c>
      <c r="C2" s="2" t="str">
        <f>Cleaned_Prepared_Data!C2</f>
        <v>East</v>
      </c>
      <c r="D2" s="2" t="str">
        <f>Cleaned_Prepared_Data!D2</f>
        <v>Residential</v>
      </c>
      <c r="E2" s="2">
        <f>Cleaned_Prepared_Data!M2</f>
        <v>658832.62</v>
      </c>
      <c r="F2" s="2">
        <f>Cleaned_Prepared_Data!E2</f>
        <v>70389.11</v>
      </c>
      <c r="G2" s="2">
        <f>Cleaned_Prepared_Data!F2</f>
        <v>8302</v>
      </c>
      <c r="H2" s="2">
        <f>Cleaned_Prepared_Data!G2</f>
        <v>4.2000000000000003E-2</v>
      </c>
      <c r="I2" s="2">
        <f>Cleaned_Prepared_Data!H2</f>
        <v>17</v>
      </c>
      <c r="J2" s="2">
        <f>Cleaned_Prepared_Data!I2</f>
        <v>75</v>
      </c>
      <c r="K2" s="2">
        <f>Cleaned_Prepared_Data!K2</f>
        <v>1</v>
      </c>
      <c r="L2" s="2">
        <f>Cleaned_Prepared_Data!L2</f>
        <v>3.1</v>
      </c>
      <c r="M2" s="2">
        <f t="shared" ref="M2:M65" si="0">IF($D2="Airport",1,0)</f>
        <v>0</v>
      </c>
      <c r="N2" s="2">
        <f t="shared" ref="N2:N65" si="1">IF($D2="High Street",1,0)</f>
        <v>0</v>
      </c>
      <c r="O2" s="2">
        <f t="shared" ref="O2:O65" si="2">IF($D2="Mall",1,0)</f>
        <v>0</v>
      </c>
    </row>
    <row r="3" spans="1:15" x14ac:dyDescent="0.35">
      <c r="A3" s="2" t="str">
        <f>Cleaned_Prepared_Data!A3</f>
        <v>STR-1001</v>
      </c>
      <c r="B3" s="2" t="str">
        <f>Cleaned_Prepared_Data!P3</f>
        <v>2025-02</v>
      </c>
      <c r="C3" s="2" t="str">
        <f>Cleaned_Prepared_Data!C3</f>
        <v>East</v>
      </c>
      <c r="D3" s="2" t="str">
        <f>Cleaned_Prepared_Data!D3</f>
        <v>Residential</v>
      </c>
      <c r="E3" s="2">
        <f>Cleaned_Prepared_Data!M3</f>
        <v>634436</v>
      </c>
      <c r="F3" s="2">
        <f>Cleaned_Prepared_Data!E3</f>
        <v>43827.89</v>
      </c>
      <c r="G3" s="2">
        <f>Cleaned_Prepared_Data!F3</f>
        <v>8487</v>
      </c>
      <c r="H3" s="2">
        <f>Cleaned_Prepared_Data!G3</f>
        <v>0.16800000000000001</v>
      </c>
      <c r="I3" s="2">
        <f>Cleaned_Prepared_Data!H3</f>
        <v>23</v>
      </c>
      <c r="J3" s="2">
        <f>Cleaned_Prepared_Data!I3</f>
        <v>84.4</v>
      </c>
      <c r="K3" s="2">
        <f>Cleaned_Prepared_Data!K3</f>
        <v>0</v>
      </c>
      <c r="L3" s="2">
        <f>Cleaned_Prepared_Data!L3</f>
        <v>2.8</v>
      </c>
      <c r="M3" s="2">
        <f t="shared" si="0"/>
        <v>0</v>
      </c>
      <c r="N3" s="2">
        <f t="shared" si="1"/>
        <v>0</v>
      </c>
      <c r="O3" s="2">
        <f t="shared" si="2"/>
        <v>0</v>
      </c>
    </row>
    <row r="4" spans="1:15" x14ac:dyDescent="0.35">
      <c r="A4" s="2" t="str">
        <f>Cleaned_Prepared_Data!A4</f>
        <v>STR-1001</v>
      </c>
      <c r="B4" s="2" t="str">
        <f>Cleaned_Prepared_Data!P4</f>
        <v>2025-03</v>
      </c>
      <c r="C4" s="2" t="str">
        <f>Cleaned_Prepared_Data!C4</f>
        <v>East</v>
      </c>
      <c r="D4" s="2" t="str">
        <f>Cleaned_Prepared_Data!D4</f>
        <v>Residential</v>
      </c>
      <c r="E4" s="2">
        <f>Cleaned_Prepared_Data!M4</f>
        <v>678722.06</v>
      </c>
      <c r="F4" s="2">
        <f>Cleaned_Prepared_Data!E4</f>
        <v>59921.75</v>
      </c>
      <c r="G4" s="2">
        <f>Cleaned_Prepared_Data!F4</f>
        <v>9113</v>
      </c>
      <c r="H4" s="2">
        <f>Cleaned_Prepared_Data!G4</f>
        <v>0.13300000000000001</v>
      </c>
      <c r="I4" s="2">
        <f>Cleaned_Prepared_Data!H4</f>
        <v>20</v>
      </c>
      <c r="J4" s="2">
        <f>Cleaned_Prepared_Data!I4</f>
        <v>88</v>
      </c>
      <c r="K4" s="2">
        <f>Cleaned_Prepared_Data!K4</f>
        <v>0</v>
      </c>
      <c r="L4" s="2">
        <f>Cleaned_Prepared_Data!L4</f>
        <v>3.2</v>
      </c>
      <c r="M4" s="2">
        <f t="shared" si="0"/>
        <v>0</v>
      </c>
      <c r="N4" s="2">
        <f t="shared" si="1"/>
        <v>0</v>
      </c>
      <c r="O4" s="2">
        <f t="shared" si="2"/>
        <v>0</v>
      </c>
    </row>
    <row r="5" spans="1:15" x14ac:dyDescent="0.35">
      <c r="A5" s="2" t="str">
        <f>Cleaned_Prepared_Data!A5</f>
        <v>STR-1001</v>
      </c>
      <c r="B5" s="2" t="str">
        <f>Cleaned_Prepared_Data!P5</f>
        <v>2025-04</v>
      </c>
      <c r="C5" s="2" t="str">
        <f>Cleaned_Prepared_Data!C5</f>
        <v>East</v>
      </c>
      <c r="D5" s="2" t="str">
        <f>Cleaned_Prepared_Data!D5</f>
        <v>Residential</v>
      </c>
      <c r="E5" s="2">
        <f>Cleaned_Prepared_Data!M5</f>
        <v>658920.30000000005</v>
      </c>
      <c r="F5" s="2">
        <f>Cleaned_Prepared_Data!E5</f>
        <v>56856.63</v>
      </c>
      <c r="G5" s="2">
        <f>Cleaned_Prepared_Data!F5</f>
        <v>9431</v>
      </c>
      <c r="H5" s="2">
        <f>Cleaned_Prepared_Data!G5</f>
        <v>0.14199999999999999</v>
      </c>
      <c r="I5" s="2">
        <f>Cleaned_Prepared_Data!H5</f>
        <v>23</v>
      </c>
      <c r="J5" s="2">
        <f>Cleaned_Prepared_Data!I5</f>
        <v>86.9</v>
      </c>
      <c r="K5" s="2">
        <f>Cleaned_Prepared_Data!K5</f>
        <v>0</v>
      </c>
      <c r="L5" s="2">
        <f>Cleaned_Prepared_Data!L5</f>
        <v>3.4</v>
      </c>
      <c r="M5" s="2">
        <f t="shared" si="0"/>
        <v>0</v>
      </c>
      <c r="N5" s="2">
        <f t="shared" si="1"/>
        <v>0</v>
      </c>
      <c r="O5" s="2">
        <f t="shared" si="2"/>
        <v>0</v>
      </c>
    </row>
    <row r="6" spans="1:15" x14ac:dyDescent="0.35">
      <c r="A6" s="2" t="str">
        <f>Cleaned_Prepared_Data!A6</f>
        <v>STR-1002</v>
      </c>
      <c r="B6" s="2" t="str">
        <f>Cleaned_Prepared_Data!P6</f>
        <v>2025-01</v>
      </c>
      <c r="C6" s="2" t="str">
        <f>Cleaned_Prepared_Data!C6</f>
        <v>East</v>
      </c>
      <c r="D6" s="2" t="str">
        <f>Cleaned_Prepared_Data!D6</f>
        <v>High Street</v>
      </c>
      <c r="E6" s="2">
        <f>Cleaned_Prepared_Data!M6</f>
        <v>741341.44</v>
      </c>
      <c r="F6" s="2">
        <f>Cleaned_Prepared_Data!E6</f>
        <v>48412.639999999999</v>
      </c>
      <c r="G6" s="2">
        <f>Cleaned_Prepared_Data!F6</f>
        <v>9545</v>
      </c>
      <c r="H6" s="2">
        <f>Cleaned_Prepared_Data!G6</f>
        <v>0.23100000000000001</v>
      </c>
      <c r="I6" s="2">
        <f>Cleaned_Prepared_Data!H6</f>
        <v>21</v>
      </c>
      <c r="J6" s="2">
        <f>Cleaned_Prepared_Data!I6</f>
        <v>97.6</v>
      </c>
      <c r="K6" s="2">
        <f>Cleaned_Prepared_Data!K6</f>
        <v>1</v>
      </c>
      <c r="L6" s="2">
        <f>Cleaned_Prepared_Data!L6</f>
        <v>4.2</v>
      </c>
      <c r="M6" s="2">
        <f t="shared" si="0"/>
        <v>0</v>
      </c>
      <c r="N6" s="2">
        <f t="shared" si="1"/>
        <v>1</v>
      </c>
      <c r="O6" s="2">
        <f t="shared" si="2"/>
        <v>0</v>
      </c>
    </row>
    <row r="7" spans="1:15" x14ac:dyDescent="0.35">
      <c r="A7" s="2" t="str">
        <f>Cleaned_Prepared_Data!A7</f>
        <v>STR-1002</v>
      </c>
      <c r="B7" s="2" t="str">
        <f>Cleaned_Prepared_Data!P7</f>
        <v>2025-02</v>
      </c>
      <c r="C7" s="2" t="str">
        <f>Cleaned_Prepared_Data!C7</f>
        <v>East</v>
      </c>
      <c r="D7" s="2" t="str">
        <f>Cleaned_Prepared_Data!D7</f>
        <v>High Street</v>
      </c>
      <c r="E7" s="2">
        <f>Cleaned_Prepared_Data!M7</f>
        <v>761835.34</v>
      </c>
      <c r="F7" s="2">
        <f>Cleaned_Prepared_Data!E7</f>
        <v>64811.21</v>
      </c>
      <c r="G7" s="2">
        <f>Cleaned_Prepared_Data!F7</f>
        <v>9792</v>
      </c>
      <c r="H7" s="2">
        <f>Cleaned_Prepared_Data!G7</f>
        <v>0.112</v>
      </c>
      <c r="I7" s="2">
        <f>Cleaned_Prepared_Data!H7</f>
        <v>20</v>
      </c>
      <c r="J7" s="2">
        <f>Cleaned_Prepared_Data!I7</f>
        <v>84.2</v>
      </c>
      <c r="K7" s="2">
        <f>Cleaned_Prepared_Data!K7</f>
        <v>0</v>
      </c>
      <c r="L7" s="2">
        <f>Cleaned_Prepared_Data!L7</f>
        <v>4.2</v>
      </c>
      <c r="M7" s="2">
        <f t="shared" si="0"/>
        <v>0</v>
      </c>
      <c r="N7" s="2">
        <f t="shared" si="1"/>
        <v>1</v>
      </c>
      <c r="O7" s="2">
        <f t="shared" si="2"/>
        <v>0</v>
      </c>
    </row>
    <row r="8" spans="1:15" x14ac:dyDescent="0.35">
      <c r="A8" s="2" t="str">
        <f>Cleaned_Prepared_Data!A8</f>
        <v>STR-1002</v>
      </c>
      <c r="B8" s="2" t="str">
        <f>Cleaned_Prepared_Data!P8</f>
        <v>2025-03</v>
      </c>
      <c r="C8" s="2" t="str">
        <f>Cleaned_Prepared_Data!C8</f>
        <v>East</v>
      </c>
      <c r="D8" s="2" t="str">
        <f>Cleaned_Prepared_Data!D8</f>
        <v>High Street</v>
      </c>
      <c r="E8" s="2">
        <f>Cleaned_Prepared_Data!M8</f>
        <v>806615.54</v>
      </c>
      <c r="F8" s="2">
        <f>Cleaned_Prepared_Data!E8</f>
        <v>46213.45</v>
      </c>
      <c r="G8" s="2">
        <f>Cleaned_Prepared_Data!F8</f>
        <v>10616</v>
      </c>
      <c r="H8" s="2">
        <f>Cleaned_Prepared_Data!G8</f>
        <v>0.122</v>
      </c>
      <c r="I8" s="2">
        <f>Cleaned_Prepared_Data!H8</f>
        <v>22</v>
      </c>
      <c r="J8" s="2">
        <f>Cleaned_Prepared_Data!I8</f>
        <v>85.2</v>
      </c>
      <c r="K8" s="2">
        <f>Cleaned_Prepared_Data!K8</f>
        <v>1</v>
      </c>
      <c r="L8" s="2">
        <f>Cleaned_Prepared_Data!L8</f>
        <v>4.0999999999999996</v>
      </c>
      <c r="M8" s="2">
        <f t="shared" si="0"/>
        <v>0</v>
      </c>
      <c r="N8" s="2">
        <f t="shared" si="1"/>
        <v>1</v>
      </c>
      <c r="O8" s="2">
        <f t="shared" si="2"/>
        <v>0</v>
      </c>
    </row>
    <row r="9" spans="1:15" x14ac:dyDescent="0.35">
      <c r="A9" s="2" t="str">
        <f>Cleaned_Prepared_Data!A9</f>
        <v>STR-1002</v>
      </c>
      <c r="B9" s="2" t="str">
        <f>Cleaned_Prepared_Data!P9</f>
        <v>2025-04</v>
      </c>
      <c r="C9" s="2" t="str">
        <f>Cleaned_Prepared_Data!C9</f>
        <v>East</v>
      </c>
      <c r="D9" s="2" t="str">
        <f>Cleaned_Prepared_Data!D9</f>
        <v>High Street</v>
      </c>
      <c r="E9" s="2">
        <f>Cleaned_Prepared_Data!M9</f>
        <v>850164.26</v>
      </c>
      <c r="F9" s="2">
        <f>Cleaned_Prepared_Data!E9</f>
        <v>68148.52</v>
      </c>
      <c r="G9" s="2">
        <f>Cleaned_Prepared_Data!F9</f>
        <v>8567</v>
      </c>
      <c r="H9" s="2">
        <f>Cleaned_Prepared_Data!G9</f>
        <v>0.127</v>
      </c>
      <c r="I9" s="2">
        <f>Cleaned_Prepared_Data!H9</f>
        <v>23</v>
      </c>
      <c r="J9" s="2">
        <f>Cleaned_Prepared_Data!I9</f>
        <v>95.6</v>
      </c>
      <c r="K9" s="2">
        <f>Cleaned_Prepared_Data!K9</f>
        <v>0</v>
      </c>
      <c r="L9" s="2">
        <f>Cleaned_Prepared_Data!L9</f>
        <v>3.9</v>
      </c>
      <c r="M9" s="2">
        <f t="shared" si="0"/>
        <v>0</v>
      </c>
      <c r="N9" s="2">
        <f t="shared" si="1"/>
        <v>1</v>
      </c>
      <c r="O9" s="2">
        <f t="shared" si="2"/>
        <v>0</v>
      </c>
    </row>
    <row r="10" spans="1:15" x14ac:dyDescent="0.35">
      <c r="A10" s="2" t="str">
        <f>Cleaned_Prepared_Data!A10</f>
        <v>STR-1003</v>
      </c>
      <c r="B10" s="2" t="str">
        <f>Cleaned_Prepared_Data!P10</f>
        <v>2025-01</v>
      </c>
      <c r="C10" s="2" t="str">
        <f>Cleaned_Prepared_Data!C10</f>
        <v>North</v>
      </c>
      <c r="D10" s="2" t="str">
        <f>Cleaned_Prepared_Data!D10</f>
        <v>Airport</v>
      </c>
      <c r="E10" s="2">
        <f>Cleaned_Prepared_Data!M10</f>
        <v>930581.7</v>
      </c>
      <c r="F10" s="2">
        <f>Cleaned_Prepared_Data!E10</f>
        <v>71838.86</v>
      </c>
      <c r="G10" s="2">
        <f>Cleaned_Prepared_Data!F10</f>
        <v>10979</v>
      </c>
      <c r="H10" s="2">
        <f>Cleaned_Prepared_Data!G10</f>
        <v>0.215</v>
      </c>
      <c r="I10" s="2">
        <f>Cleaned_Prepared_Data!H10</f>
        <v>26</v>
      </c>
      <c r="J10" s="2">
        <f>Cleaned_Prepared_Data!I10</f>
        <v>88.6</v>
      </c>
      <c r="K10" s="2">
        <f>Cleaned_Prepared_Data!K10</f>
        <v>1</v>
      </c>
      <c r="L10" s="2">
        <f>Cleaned_Prepared_Data!L10</f>
        <v>3.8</v>
      </c>
      <c r="M10" s="2">
        <f t="shared" si="0"/>
        <v>1</v>
      </c>
      <c r="N10" s="2">
        <f t="shared" si="1"/>
        <v>0</v>
      </c>
      <c r="O10" s="2">
        <f t="shared" si="2"/>
        <v>0</v>
      </c>
    </row>
    <row r="11" spans="1:15" x14ac:dyDescent="0.35">
      <c r="A11" s="2" t="str">
        <f>Cleaned_Prepared_Data!A11</f>
        <v>STR-1003</v>
      </c>
      <c r="B11" s="2" t="str">
        <f>Cleaned_Prepared_Data!P11</f>
        <v>2025-02</v>
      </c>
      <c r="C11" s="2" t="str">
        <f>Cleaned_Prepared_Data!C11</f>
        <v>North</v>
      </c>
      <c r="D11" s="2" t="str">
        <f>Cleaned_Prepared_Data!D11</f>
        <v>Airport</v>
      </c>
      <c r="E11" s="2">
        <f>Cleaned_Prepared_Data!M11</f>
        <v>779010.94</v>
      </c>
      <c r="F11" s="2">
        <f>Cleaned_Prepared_Data!E11</f>
        <v>68133.440000000002</v>
      </c>
      <c r="G11" s="2">
        <f>Cleaned_Prepared_Data!F11</f>
        <v>9459</v>
      </c>
      <c r="H11" s="2">
        <f>Cleaned_Prepared_Data!G11</f>
        <v>0.22</v>
      </c>
      <c r="I11" s="2">
        <f>Cleaned_Prepared_Data!H11</f>
        <v>21</v>
      </c>
      <c r="J11" s="2">
        <f>Cleaned_Prepared_Data!I11</f>
        <v>85</v>
      </c>
      <c r="K11" s="2">
        <f>Cleaned_Prepared_Data!K11</f>
        <v>0</v>
      </c>
      <c r="L11" s="2">
        <f>Cleaned_Prepared_Data!L11</f>
        <v>4.2</v>
      </c>
      <c r="M11" s="2">
        <f t="shared" si="0"/>
        <v>1</v>
      </c>
      <c r="N11" s="2">
        <f t="shared" si="1"/>
        <v>0</v>
      </c>
      <c r="O11" s="2">
        <f t="shared" si="2"/>
        <v>0</v>
      </c>
    </row>
    <row r="12" spans="1:15" x14ac:dyDescent="0.35">
      <c r="A12" s="2" t="str">
        <f>Cleaned_Prepared_Data!A12</f>
        <v>STR-1003</v>
      </c>
      <c r="B12" s="2" t="str">
        <f>Cleaned_Prepared_Data!P12</f>
        <v>2025-03</v>
      </c>
      <c r="C12" s="2" t="str">
        <f>Cleaned_Prepared_Data!C12</f>
        <v>North</v>
      </c>
      <c r="D12" s="2" t="str">
        <f>Cleaned_Prepared_Data!D12</f>
        <v>Airport</v>
      </c>
      <c r="E12" s="2">
        <f>Cleaned_Prepared_Data!M12</f>
        <v>723060.76</v>
      </c>
      <c r="F12" s="2">
        <f>Cleaned_Prepared_Data!E12</f>
        <v>34285.21</v>
      </c>
      <c r="G12" s="2">
        <f>Cleaned_Prepared_Data!F12</f>
        <v>9172</v>
      </c>
      <c r="H12" s="2">
        <f>Cleaned_Prepared_Data!G12</f>
        <v>0.21299999999999999</v>
      </c>
      <c r="I12" s="2">
        <f>Cleaned_Prepared_Data!H12</f>
        <v>22</v>
      </c>
      <c r="J12" s="2">
        <f>Cleaned_Prepared_Data!I12</f>
        <v>88.3</v>
      </c>
      <c r="K12" s="2">
        <f>Cleaned_Prepared_Data!K12</f>
        <v>1</v>
      </c>
      <c r="L12" s="2">
        <f>Cleaned_Prepared_Data!L12</f>
        <v>3.8</v>
      </c>
      <c r="M12" s="2">
        <f t="shared" si="0"/>
        <v>1</v>
      </c>
      <c r="N12" s="2">
        <f t="shared" si="1"/>
        <v>0</v>
      </c>
      <c r="O12" s="2">
        <f t="shared" si="2"/>
        <v>0</v>
      </c>
    </row>
    <row r="13" spans="1:15" x14ac:dyDescent="0.35">
      <c r="A13" s="2" t="str">
        <f>Cleaned_Prepared_Data!A13</f>
        <v>STR-1003</v>
      </c>
      <c r="B13" s="2" t="str">
        <f>Cleaned_Prepared_Data!P13</f>
        <v>2025-04</v>
      </c>
      <c r="C13" s="2" t="str">
        <f>Cleaned_Prepared_Data!C13</f>
        <v>North</v>
      </c>
      <c r="D13" s="2" t="str">
        <f>Cleaned_Prepared_Data!D13</f>
        <v>Airport</v>
      </c>
      <c r="E13" s="2">
        <f>Cleaned_Prepared_Data!M13</f>
        <v>910791.94</v>
      </c>
      <c r="F13" s="2">
        <f>Cleaned_Prepared_Data!E13</f>
        <v>67979.88</v>
      </c>
      <c r="G13" s="2">
        <f>Cleaned_Prepared_Data!F13</f>
        <v>11230</v>
      </c>
      <c r="H13" s="2">
        <f>Cleaned_Prepared_Data!G13</f>
        <v>2E-3</v>
      </c>
      <c r="I13" s="2">
        <f>Cleaned_Prepared_Data!H13</f>
        <v>28</v>
      </c>
      <c r="J13" s="2">
        <f>Cleaned_Prepared_Data!I13</f>
        <v>85.3</v>
      </c>
      <c r="K13" s="2">
        <f>Cleaned_Prepared_Data!K13</f>
        <v>0</v>
      </c>
      <c r="L13" s="2">
        <f>Cleaned_Prepared_Data!L13</f>
        <v>3.8</v>
      </c>
      <c r="M13" s="2">
        <f t="shared" si="0"/>
        <v>1</v>
      </c>
      <c r="N13" s="2">
        <f t="shared" si="1"/>
        <v>0</v>
      </c>
      <c r="O13" s="2">
        <f t="shared" si="2"/>
        <v>0</v>
      </c>
    </row>
    <row r="14" spans="1:15" x14ac:dyDescent="0.35">
      <c r="A14" s="2" t="str">
        <f>Cleaned_Prepared_Data!A14</f>
        <v>STR-1004</v>
      </c>
      <c r="B14" s="2" t="str">
        <f>Cleaned_Prepared_Data!P14</f>
        <v>2025-01</v>
      </c>
      <c r="C14" s="2" t="str">
        <f>Cleaned_Prepared_Data!C14</f>
        <v>East</v>
      </c>
      <c r="D14" s="2" t="str">
        <f>Cleaned_Prepared_Data!D14</f>
        <v>Residential</v>
      </c>
      <c r="E14" s="2">
        <f>Cleaned_Prepared_Data!M14</f>
        <v>922168.6</v>
      </c>
      <c r="F14" s="2">
        <f>Cleaned_Prepared_Data!E14</f>
        <v>71828.259999999995</v>
      </c>
      <c r="G14" s="2">
        <f>Cleaned_Prepared_Data!F14</f>
        <v>12775</v>
      </c>
      <c r="H14" s="2">
        <f>Cleaned_Prepared_Data!G14</f>
        <v>0.11600000000000001</v>
      </c>
      <c r="I14" s="2">
        <f>Cleaned_Prepared_Data!H14</f>
        <v>30</v>
      </c>
      <c r="J14" s="2">
        <f>Cleaned_Prepared_Data!I14</f>
        <v>81.7</v>
      </c>
      <c r="K14" s="2">
        <f>Cleaned_Prepared_Data!K14</f>
        <v>1</v>
      </c>
      <c r="L14" s="2">
        <f>Cleaned_Prepared_Data!L14</f>
        <v>4.2</v>
      </c>
      <c r="M14" s="2">
        <f t="shared" si="0"/>
        <v>0</v>
      </c>
      <c r="N14" s="2">
        <f t="shared" si="1"/>
        <v>0</v>
      </c>
      <c r="O14" s="2">
        <f t="shared" si="2"/>
        <v>0</v>
      </c>
    </row>
    <row r="15" spans="1:15" x14ac:dyDescent="0.35">
      <c r="A15" s="2" t="str">
        <f>Cleaned_Prepared_Data!A15</f>
        <v>STR-1004</v>
      </c>
      <c r="B15" s="2" t="str">
        <f>Cleaned_Prepared_Data!P15</f>
        <v>2025-02</v>
      </c>
      <c r="C15" s="2" t="str">
        <f>Cleaned_Prepared_Data!C15</f>
        <v>East</v>
      </c>
      <c r="D15" s="2" t="str">
        <f>Cleaned_Prepared_Data!D15</f>
        <v>Residential</v>
      </c>
      <c r="E15" s="2">
        <f>Cleaned_Prepared_Data!M15</f>
        <v>726606.28</v>
      </c>
      <c r="F15" s="2">
        <f>Cleaned_Prepared_Data!E15</f>
        <v>55716.82</v>
      </c>
      <c r="G15" s="2">
        <f>Cleaned_Prepared_Data!F15</f>
        <v>10054</v>
      </c>
      <c r="H15" s="2">
        <f>Cleaned_Prepared_Data!G15</f>
        <v>0.14599999999999999</v>
      </c>
      <c r="I15" s="2">
        <f>Cleaned_Prepared_Data!H15</f>
        <v>24</v>
      </c>
      <c r="J15" s="2">
        <f>Cleaned_Prepared_Data!I15</f>
        <v>84.9</v>
      </c>
      <c r="K15" s="2">
        <f>Cleaned_Prepared_Data!K15</f>
        <v>0</v>
      </c>
      <c r="L15" s="2">
        <f>Cleaned_Prepared_Data!L15</f>
        <v>4.3</v>
      </c>
      <c r="M15" s="2">
        <f t="shared" si="0"/>
        <v>0</v>
      </c>
      <c r="N15" s="2">
        <f t="shared" si="1"/>
        <v>0</v>
      </c>
      <c r="O15" s="2">
        <f t="shared" si="2"/>
        <v>0</v>
      </c>
    </row>
    <row r="16" spans="1:15" x14ac:dyDescent="0.35">
      <c r="A16" s="2" t="str">
        <f>Cleaned_Prepared_Data!A16</f>
        <v>STR-1004</v>
      </c>
      <c r="B16" s="2" t="str">
        <f>Cleaned_Prepared_Data!P16</f>
        <v>2025-03</v>
      </c>
      <c r="C16" s="2" t="str">
        <f>Cleaned_Prepared_Data!C16</f>
        <v>East</v>
      </c>
      <c r="D16" s="2" t="str">
        <f>Cleaned_Prepared_Data!D16</f>
        <v>Residential</v>
      </c>
      <c r="E16" s="2">
        <f>Cleaned_Prepared_Data!M16</f>
        <v>746501.09</v>
      </c>
      <c r="F16" s="2">
        <f>Cleaned_Prepared_Data!E16</f>
        <v>59909.51</v>
      </c>
      <c r="G16" s="2">
        <f>Cleaned_Prepared_Data!F16</f>
        <v>8895</v>
      </c>
      <c r="H16" s="2">
        <f>Cleaned_Prepared_Data!G16</f>
        <v>0.22800000000000001</v>
      </c>
      <c r="I16" s="2">
        <f>Cleaned_Prepared_Data!H16</f>
        <v>23</v>
      </c>
      <c r="J16" s="2">
        <f>Cleaned_Prepared_Data!I16</f>
        <v>88.8</v>
      </c>
      <c r="K16" s="2">
        <f>Cleaned_Prepared_Data!K16</f>
        <v>0</v>
      </c>
      <c r="L16" s="2">
        <f>Cleaned_Prepared_Data!L16</f>
        <v>4.3</v>
      </c>
      <c r="M16" s="2">
        <f t="shared" si="0"/>
        <v>0</v>
      </c>
      <c r="N16" s="2">
        <f t="shared" si="1"/>
        <v>0</v>
      </c>
      <c r="O16" s="2">
        <f t="shared" si="2"/>
        <v>0</v>
      </c>
    </row>
    <row r="17" spans="1:15" x14ac:dyDescent="0.35">
      <c r="A17" s="2" t="str">
        <f>Cleaned_Prepared_Data!A17</f>
        <v>STR-1004</v>
      </c>
      <c r="B17" s="2" t="str">
        <f>Cleaned_Prepared_Data!P17</f>
        <v>2025-04</v>
      </c>
      <c r="C17" s="2" t="str">
        <f>Cleaned_Prepared_Data!C17</f>
        <v>East</v>
      </c>
      <c r="D17" s="2" t="str">
        <f>Cleaned_Prepared_Data!D17</f>
        <v>Residential</v>
      </c>
      <c r="E17" s="2">
        <f>Cleaned_Prepared_Data!M17</f>
        <v>834017.02</v>
      </c>
      <c r="F17" s="2">
        <f>Cleaned_Prepared_Data!E17</f>
        <v>75305.710000000006</v>
      </c>
      <c r="G17" s="2">
        <f>Cleaned_Prepared_Data!F17</f>
        <v>10940</v>
      </c>
      <c r="H17" s="2">
        <f>Cleaned_Prepared_Data!G17</f>
        <v>6.0000000000000001E-3</v>
      </c>
      <c r="I17" s="2">
        <f>Cleaned_Prepared_Data!H17</f>
        <v>26</v>
      </c>
      <c r="J17" s="2">
        <f>Cleaned_Prepared_Data!I17</f>
        <v>76.5</v>
      </c>
      <c r="K17" s="2">
        <f>Cleaned_Prepared_Data!K17</f>
        <v>0</v>
      </c>
      <c r="L17" s="2">
        <f>Cleaned_Prepared_Data!L17</f>
        <v>4.5</v>
      </c>
      <c r="M17" s="2">
        <f t="shared" si="0"/>
        <v>0</v>
      </c>
      <c r="N17" s="2">
        <f t="shared" si="1"/>
        <v>0</v>
      </c>
      <c r="O17" s="2">
        <f t="shared" si="2"/>
        <v>0</v>
      </c>
    </row>
    <row r="18" spans="1:15" x14ac:dyDescent="0.35">
      <c r="A18" s="2" t="str">
        <f>Cleaned_Prepared_Data!A18</f>
        <v>STR-1005</v>
      </c>
      <c r="B18" s="2" t="str">
        <f>Cleaned_Prepared_Data!P18</f>
        <v>2025-01</v>
      </c>
      <c r="C18" s="2" t="str">
        <f>Cleaned_Prepared_Data!C18</f>
        <v>South</v>
      </c>
      <c r="D18" s="2" t="str">
        <f>Cleaned_Prepared_Data!D18</f>
        <v>Residential</v>
      </c>
      <c r="E18" s="2">
        <f>Cleaned_Prepared_Data!M18</f>
        <v>666152.52</v>
      </c>
      <c r="F18" s="2">
        <f>Cleaned_Prepared_Data!E18</f>
        <v>48804.22</v>
      </c>
      <c r="G18" s="2">
        <f>Cleaned_Prepared_Data!F18</f>
        <v>7057</v>
      </c>
      <c r="H18" s="2">
        <f>Cleaned_Prepared_Data!G18</f>
        <v>5.0000000000000001E-3</v>
      </c>
      <c r="I18" s="2">
        <f>Cleaned_Prepared_Data!H18</f>
        <v>15</v>
      </c>
      <c r="J18" s="2">
        <f>Cleaned_Prepared_Data!I18</f>
        <v>87.7</v>
      </c>
      <c r="K18" s="2">
        <f>Cleaned_Prepared_Data!K18</f>
        <v>0</v>
      </c>
      <c r="L18" s="2">
        <f>Cleaned_Prepared_Data!L18</f>
        <v>3.7</v>
      </c>
      <c r="M18" s="2">
        <f t="shared" si="0"/>
        <v>0</v>
      </c>
      <c r="N18" s="2">
        <f t="shared" si="1"/>
        <v>0</v>
      </c>
      <c r="O18" s="2">
        <f t="shared" si="2"/>
        <v>0</v>
      </c>
    </row>
    <row r="19" spans="1:15" x14ac:dyDescent="0.35">
      <c r="A19" s="2" t="str">
        <f>Cleaned_Prepared_Data!A19</f>
        <v>STR-1005</v>
      </c>
      <c r="B19" s="2" t="str">
        <f>Cleaned_Prepared_Data!P19</f>
        <v>2025-02</v>
      </c>
      <c r="C19" s="2" t="str">
        <f>Cleaned_Prepared_Data!C19</f>
        <v>South</v>
      </c>
      <c r="D19" s="2" t="str">
        <f>Cleaned_Prepared_Data!D19</f>
        <v>Residential</v>
      </c>
      <c r="E19" s="2">
        <f>Cleaned_Prepared_Data!M19</f>
        <v>573155.18999999994</v>
      </c>
      <c r="F19" s="2">
        <f>Cleaned_Prepared_Data!E19</f>
        <v>59117.9</v>
      </c>
      <c r="G19" s="2">
        <f>Cleaned_Prepared_Data!F19</f>
        <v>4263</v>
      </c>
      <c r="H19" s="2">
        <f>Cleaned_Prepared_Data!G19</f>
        <v>0.11899999999999999</v>
      </c>
      <c r="I19" s="2">
        <f>Cleaned_Prepared_Data!H19</f>
        <v>9</v>
      </c>
      <c r="J19" s="2">
        <f>Cleaned_Prepared_Data!I19</f>
        <v>87.6</v>
      </c>
      <c r="K19" s="2">
        <f>Cleaned_Prepared_Data!K19</f>
        <v>0</v>
      </c>
      <c r="L19" s="2">
        <f>Cleaned_Prepared_Data!L19</f>
        <v>3.6</v>
      </c>
      <c r="M19" s="2">
        <f t="shared" si="0"/>
        <v>0</v>
      </c>
      <c r="N19" s="2">
        <f t="shared" si="1"/>
        <v>0</v>
      </c>
      <c r="O19" s="2">
        <f t="shared" si="2"/>
        <v>0</v>
      </c>
    </row>
    <row r="20" spans="1:15" x14ac:dyDescent="0.35">
      <c r="A20" s="2" t="str">
        <f>Cleaned_Prepared_Data!A20</f>
        <v>STR-1005</v>
      </c>
      <c r="B20" s="2" t="str">
        <f>Cleaned_Prepared_Data!P20</f>
        <v>2025-03</v>
      </c>
      <c r="C20" s="2" t="str">
        <f>Cleaned_Prepared_Data!C20</f>
        <v>South</v>
      </c>
      <c r="D20" s="2" t="str">
        <f>Cleaned_Prepared_Data!D20</f>
        <v>Residential</v>
      </c>
      <c r="E20" s="2">
        <f>Cleaned_Prepared_Data!M20</f>
        <v>666573.19999999995</v>
      </c>
      <c r="F20" s="2">
        <f>Cleaned_Prepared_Data!E20</f>
        <v>78831.12</v>
      </c>
      <c r="G20" s="2">
        <f>Cleaned_Prepared_Data!F20</f>
        <v>5538</v>
      </c>
      <c r="H20" s="2">
        <f>Cleaned_Prepared_Data!G20</f>
        <v>0</v>
      </c>
      <c r="I20" s="2">
        <f>Cleaned_Prepared_Data!H20</f>
        <v>15</v>
      </c>
      <c r="J20" s="2">
        <f>Cleaned_Prepared_Data!I20</f>
        <v>94.1</v>
      </c>
      <c r="K20" s="2">
        <f>Cleaned_Prepared_Data!K20</f>
        <v>0</v>
      </c>
      <c r="L20" s="2">
        <f>Cleaned_Prepared_Data!L20</f>
        <v>3.9</v>
      </c>
      <c r="M20" s="2">
        <f t="shared" si="0"/>
        <v>0</v>
      </c>
      <c r="N20" s="2">
        <f t="shared" si="1"/>
        <v>0</v>
      </c>
      <c r="O20" s="2">
        <f t="shared" si="2"/>
        <v>0</v>
      </c>
    </row>
    <row r="21" spans="1:15" x14ac:dyDescent="0.35">
      <c r="A21" s="2" t="str">
        <f>Cleaned_Prepared_Data!A21</f>
        <v>STR-1005</v>
      </c>
      <c r="B21" s="2" t="str">
        <f>Cleaned_Prepared_Data!P21</f>
        <v>2025-04</v>
      </c>
      <c r="C21" s="2" t="str">
        <f>Cleaned_Prepared_Data!C21</f>
        <v>South</v>
      </c>
      <c r="D21" s="2" t="str">
        <f>Cleaned_Prepared_Data!D21</f>
        <v>Residential</v>
      </c>
      <c r="E21" s="2">
        <f>Cleaned_Prepared_Data!M21</f>
        <v>591619.94999999995</v>
      </c>
      <c r="F21" s="2">
        <f>Cleaned_Prepared_Data!E21</f>
        <v>41441.93</v>
      </c>
      <c r="G21" s="2">
        <f>Cleaned_Prepared_Data!F21</f>
        <v>4865</v>
      </c>
      <c r="H21" s="2">
        <f>Cleaned_Prepared_Data!G21</f>
        <v>0.158</v>
      </c>
      <c r="I21" s="2">
        <f>Cleaned_Prepared_Data!H21</f>
        <v>16</v>
      </c>
      <c r="J21" s="2">
        <f>Cleaned_Prepared_Data!I21</f>
        <v>88.3</v>
      </c>
      <c r="K21" s="2">
        <f>Cleaned_Prepared_Data!K21</f>
        <v>0</v>
      </c>
      <c r="L21" s="2">
        <f>Cleaned_Prepared_Data!L21</f>
        <v>4</v>
      </c>
      <c r="M21" s="2">
        <f t="shared" si="0"/>
        <v>0</v>
      </c>
      <c r="N21" s="2">
        <f t="shared" si="1"/>
        <v>0</v>
      </c>
      <c r="O21" s="2">
        <f t="shared" si="2"/>
        <v>0</v>
      </c>
    </row>
    <row r="22" spans="1:15" x14ac:dyDescent="0.35">
      <c r="A22" s="2" t="str">
        <f>Cleaned_Prepared_Data!A22</f>
        <v>STR-1006</v>
      </c>
      <c r="B22" s="2" t="str">
        <f>Cleaned_Prepared_Data!P22</f>
        <v>2025-01</v>
      </c>
      <c r="C22" s="2" t="str">
        <f>Cleaned_Prepared_Data!C22</f>
        <v>North</v>
      </c>
      <c r="D22" s="2" t="str">
        <f>Cleaned_Prepared_Data!D22</f>
        <v>Residential</v>
      </c>
      <c r="E22" s="2">
        <f>Cleaned_Prepared_Data!M22</f>
        <v>415721.82</v>
      </c>
      <c r="F22" s="2">
        <f>Cleaned_Prepared_Data!E22</f>
        <v>30356.28</v>
      </c>
      <c r="G22" s="2">
        <f>Cleaned_Prepared_Data!F22</f>
        <v>2822</v>
      </c>
      <c r="H22" s="2">
        <f>Cleaned_Prepared_Data!G22</f>
        <v>0.23100000000000001</v>
      </c>
      <c r="I22" s="2">
        <f>Cleaned_Prepared_Data!H22</f>
        <v>9</v>
      </c>
      <c r="J22" s="2">
        <f>Cleaned_Prepared_Data!I22</f>
        <v>84.8</v>
      </c>
      <c r="K22" s="2">
        <f>Cleaned_Prepared_Data!K22</f>
        <v>0</v>
      </c>
      <c r="L22" s="2">
        <f>Cleaned_Prepared_Data!L22</f>
        <v>5</v>
      </c>
      <c r="M22" s="2">
        <f t="shared" si="0"/>
        <v>0</v>
      </c>
      <c r="N22" s="2">
        <f t="shared" si="1"/>
        <v>0</v>
      </c>
      <c r="O22" s="2">
        <f t="shared" si="2"/>
        <v>0</v>
      </c>
    </row>
    <row r="23" spans="1:15" x14ac:dyDescent="0.35">
      <c r="A23" s="2" t="str">
        <f>Cleaned_Prepared_Data!A23</f>
        <v>STR-1006</v>
      </c>
      <c r="B23" s="2" t="str">
        <f>Cleaned_Prepared_Data!P23</f>
        <v>2025-02</v>
      </c>
      <c r="C23" s="2" t="str">
        <f>Cleaned_Prepared_Data!C23</f>
        <v>North</v>
      </c>
      <c r="D23" s="2" t="str">
        <f>Cleaned_Prepared_Data!D23</f>
        <v>Residential</v>
      </c>
      <c r="E23" s="2">
        <f>Cleaned_Prepared_Data!M23</f>
        <v>491905.13</v>
      </c>
      <c r="F23" s="2">
        <f>Cleaned_Prepared_Data!E23</f>
        <v>33518.879999999997</v>
      </c>
      <c r="G23" s="2">
        <f>Cleaned_Prepared_Data!F23</f>
        <v>2121</v>
      </c>
      <c r="H23" s="2">
        <f>Cleaned_Prepared_Data!G23</f>
        <v>0.17599999999999999</v>
      </c>
      <c r="I23" s="2">
        <f>Cleaned_Prepared_Data!H23</f>
        <v>8</v>
      </c>
      <c r="J23" s="2">
        <f>Cleaned_Prepared_Data!I23</f>
        <v>88.5</v>
      </c>
      <c r="K23" s="2">
        <f>Cleaned_Prepared_Data!K23</f>
        <v>0</v>
      </c>
      <c r="L23" s="2">
        <f>Cleaned_Prepared_Data!L23</f>
        <v>5</v>
      </c>
      <c r="M23" s="2">
        <f t="shared" si="0"/>
        <v>0</v>
      </c>
      <c r="N23" s="2">
        <f t="shared" si="1"/>
        <v>0</v>
      </c>
      <c r="O23" s="2">
        <f t="shared" si="2"/>
        <v>0</v>
      </c>
    </row>
    <row r="24" spans="1:15" x14ac:dyDescent="0.35">
      <c r="A24" s="2" t="str">
        <f>Cleaned_Prepared_Data!A24</f>
        <v>STR-1006</v>
      </c>
      <c r="B24" s="2" t="str">
        <f>Cleaned_Prepared_Data!P24</f>
        <v>2025-03</v>
      </c>
      <c r="C24" s="2" t="str">
        <f>Cleaned_Prepared_Data!C24</f>
        <v>North</v>
      </c>
      <c r="D24" s="2" t="str">
        <f>Cleaned_Prepared_Data!D24</f>
        <v>Residential</v>
      </c>
      <c r="E24" s="2">
        <f>Cleaned_Prepared_Data!M24</f>
        <v>555929.4</v>
      </c>
      <c r="F24" s="2">
        <f>Cleaned_Prepared_Data!E24</f>
        <v>42267.37</v>
      </c>
      <c r="G24" s="2">
        <f>Cleaned_Prepared_Data!F24</f>
        <v>3364</v>
      </c>
      <c r="H24" s="2">
        <f>Cleaned_Prepared_Data!G24</f>
        <v>0.16</v>
      </c>
      <c r="I24" s="2">
        <f>Cleaned_Prepared_Data!H24</f>
        <v>13</v>
      </c>
      <c r="J24" s="2">
        <f>Cleaned_Prepared_Data!I24</f>
        <v>82</v>
      </c>
      <c r="K24" s="2">
        <f>Cleaned_Prepared_Data!K24</f>
        <v>1</v>
      </c>
      <c r="L24" s="2">
        <f>Cleaned_Prepared_Data!L24</f>
        <v>4.5999999999999996</v>
      </c>
      <c r="M24" s="2">
        <f t="shared" si="0"/>
        <v>0</v>
      </c>
      <c r="N24" s="2">
        <f t="shared" si="1"/>
        <v>0</v>
      </c>
      <c r="O24" s="2">
        <f t="shared" si="2"/>
        <v>0</v>
      </c>
    </row>
    <row r="25" spans="1:15" x14ac:dyDescent="0.35">
      <c r="A25" s="2" t="str">
        <f>Cleaned_Prepared_Data!A25</f>
        <v>STR-1006</v>
      </c>
      <c r="B25" s="2" t="str">
        <f>Cleaned_Prepared_Data!P25</f>
        <v>2025-04</v>
      </c>
      <c r="C25" s="2" t="str">
        <f>Cleaned_Prepared_Data!C25</f>
        <v>North</v>
      </c>
      <c r="D25" s="2" t="str">
        <f>Cleaned_Prepared_Data!D25</f>
        <v>Residential</v>
      </c>
      <c r="E25" s="2">
        <f>Cleaned_Prepared_Data!M25</f>
        <v>565810.99</v>
      </c>
      <c r="F25" s="2">
        <f>Cleaned_Prepared_Data!E25</f>
        <v>62060.43</v>
      </c>
      <c r="G25" s="2">
        <f>Cleaned_Prepared_Data!F25</f>
        <v>2613</v>
      </c>
      <c r="H25" s="2">
        <f>Cleaned_Prepared_Data!G25</f>
        <v>0.216</v>
      </c>
      <c r="I25" s="2">
        <f>Cleaned_Prepared_Data!H25</f>
        <v>12</v>
      </c>
      <c r="J25" s="2">
        <f>Cleaned_Prepared_Data!I25</f>
        <v>92.1</v>
      </c>
      <c r="K25" s="2">
        <f>Cleaned_Prepared_Data!K25</f>
        <v>0</v>
      </c>
      <c r="L25" s="2">
        <f>Cleaned_Prepared_Data!L25</f>
        <v>4.7</v>
      </c>
      <c r="M25" s="2">
        <f t="shared" si="0"/>
        <v>0</v>
      </c>
      <c r="N25" s="2">
        <f t="shared" si="1"/>
        <v>0</v>
      </c>
      <c r="O25" s="2">
        <f t="shared" si="2"/>
        <v>0</v>
      </c>
    </row>
    <row r="26" spans="1:15" x14ac:dyDescent="0.35">
      <c r="A26" s="2" t="str">
        <f>Cleaned_Prepared_Data!A26</f>
        <v>STR-1007</v>
      </c>
      <c r="B26" s="2" t="str">
        <f>Cleaned_Prepared_Data!P26</f>
        <v>2025-01</v>
      </c>
      <c r="C26" s="2" t="str">
        <f>Cleaned_Prepared_Data!C26</f>
        <v>West</v>
      </c>
      <c r="D26" s="2" t="str">
        <f>Cleaned_Prepared_Data!D26</f>
        <v>Mall</v>
      </c>
      <c r="E26" s="2">
        <f>Cleaned_Prepared_Data!M26</f>
        <v>811771.14</v>
      </c>
      <c r="F26" s="2">
        <f>Cleaned_Prepared_Data!E26</f>
        <v>57696.69</v>
      </c>
      <c r="G26" s="2">
        <f>Cleaned_Prepared_Data!F26</f>
        <v>10218</v>
      </c>
      <c r="H26" s="2">
        <f>Cleaned_Prepared_Data!G26</f>
        <v>0.121</v>
      </c>
      <c r="I26" s="2">
        <f>Cleaned_Prepared_Data!H26</f>
        <v>25</v>
      </c>
      <c r="J26" s="2">
        <f>Cleaned_Prepared_Data!I26</f>
        <v>94.8</v>
      </c>
      <c r="K26" s="2">
        <f>Cleaned_Prepared_Data!K26</f>
        <v>0</v>
      </c>
      <c r="L26" s="2">
        <f>Cleaned_Prepared_Data!L26</f>
        <v>3.5</v>
      </c>
      <c r="M26" s="2">
        <f t="shared" si="0"/>
        <v>0</v>
      </c>
      <c r="N26" s="2">
        <f t="shared" si="1"/>
        <v>0</v>
      </c>
      <c r="O26" s="2">
        <f t="shared" si="2"/>
        <v>1</v>
      </c>
    </row>
    <row r="27" spans="1:15" x14ac:dyDescent="0.35">
      <c r="A27" s="2" t="str">
        <f>Cleaned_Prepared_Data!A27</f>
        <v>STR-1007</v>
      </c>
      <c r="B27" s="2" t="str">
        <f>Cleaned_Prepared_Data!P27</f>
        <v>2025-02</v>
      </c>
      <c r="C27" s="2" t="str">
        <f>Cleaned_Prepared_Data!C27</f>
        <v>West</v>
      </c>
      <c r="D27" s="2" t="str">
        <f>Cleaned_Prepared_Data!D27</f>
        <v>Mall</v>
      </c>
      <c r="E27" s="2">
        <f>Cleaned_Prepared_Data!M27</f>
        <v>800451.94</v>
      </c>
      <c r="F27" s="2">
        <f>Cleaned_Prepared_Data!E27</f>
        <v>172415.52</v>
      </c>
      <c r="G27" s="2">
        <f>Cleaned_Prepared_Data!F27</f>
        <v>8927</v>
      </c>
      <c r="H27" s="2">
        <f>Cleaned_Prepared_Data!G27</f>
        <v>0.14000000000000001</v>
      </c>
      <c r="I27" s="2">
        <f>Cleaned_Prepared_Data!H27</f>
        <v>22</v>
      </c>
      <c r="J27" s="2">
        <f>Cleaned_Prepared_Data!I27</f>
        <v>86.2</v>
      </c>
      <c r="K27" s="2">
        <f>Cleaned_Prepared_Data!K27</f>
        <v>0</v>
      </c>
      <c r="L27" s="2">
        <f>Cleaned_Prepared_Data!L27</f>
        <v>3.9</v>
      </c>
      <c r="M27" s="2">
        <f t="shared" si="0"/>
        <v>0</v>
      </c>
      <c r="N27" s="2">
        <f t="shared" si="1"/>
        <v>0</v>
      </c>
      <c r="O27" s="2">
        <f t="shared" si="2"/>
        <v>1</v>
      </c>
    </row>
    <row r="28" spans="1:15" x14ac:dyDescent="0.35">
      <c r="A28" s="2" t="str">
        <f>Cleaned_Prepared_Data!A28</f>
        <v>STR-1007</v>
      </c>
      <c r="B28" s="2" t="str">
        <f>Cleaned_Prepared_Data!P28</f>
        <v>2025-03</v>
      </c>
      <c r="C28" s="2" t="str">
        <f>Cleaned_Prepared_Data!C28</f>
        <v>West</v>
      </c>
      <c r="D28" s="2" t="str">
        <f>Cleaned_Prepared_Data!D28</f>
        <v>Mall</v>
      </c>
      <c r="E28" s="2">
        <f>Cleaned_Prepared_Data!M28</f>
        <v>783672.82</v>
      </c>
      <c r="F28" s="2">
        <f>Cleaned_Prepared_Data!E28</f>
        <v>55270.52</v>
      </c>
      <c r="G28" s="2">
        <f>Cleaned_Prepared_Data!F28</f>
        <v>9315</v>
      </c>
      <c r="H28" s="2">
        <f>Cleaned_Prepared_Data!G28</f>
        <v>0.16900000000000001</v>
      </c>
      <c r="I28" s="2">
        <f>Cleaned_Prepared_Data!H28</f>
        <v>23</v>
      </c>
      <c r="J28" s="2">
        <f>Cleaned_Prepared_Data!I28</f>
        <v>91.9</v>
      </c>
      <c r="K28" s="2">
        <f>Cleaned_Prepared_Data!K28</f>
        <v>0</v>
      </c>
      <c r="L28" s="2">
        <f>Cleaned_Prepared_Data!L28</f>
        <v>4</v>
      </c>
      <c r="M28" s="2">
        <f t="shared" si="0"/>
        <v>0</v>
      </c>
      <c r="N28" s="2">
        <f t="shared" si="1"/>
        <v>0</v>
      </c>
      <c r="O28" s="2">
        <f t="shared" si="2"/>
        <v>1</v>
      </c>
    </row>
    <row r="29" spans="1:15" x14ac:dyDescent="0.35">
      <c r="A29" s="2" t="str">
        <f>Cleaned_Prepared_Data!A29</f>
        <v>STR-1007</v>
      </c>
      <c r="B29" s="2" t="str">
        <f>Cleaned_Prepared_Data!P29</f>
        <v>2025-04</v>
      </c>
      <c r="C29" s="2" t="str">
        <f>Cleaned_Prepared_Data!C29</f>
        <v>West</v>
      </c>
      <c r="D29" s="2" t="str">
        <f>Cleaned_Prepared_Data!D29</f>
        <v>Mall</v>
      </c>
      <c r="E29" s="2">
        <f>Cleaned_Prepared_Data!M29</f>
        <v>701641.97</v>
      </c>
      <c r="F29" s="2">
        <f>Cleaned_Prepared_Data!E29</f>
        <v>52715.1</v>
      </c>
      <c r="G29" s="2">
        <f>Cleaned_Prepared_Data!F29</f>
        <v>7223</v>
      </c>
      <c r="H29" s="2">
        <f>Cleaned_Prepared_Data!G29</f>
        <v>0.122</v>
      </c>
      <c r="I29" s="2">
        <f>Cleaned_Prepared_Data!H29</f>
        <v>16</v>
      </c>
      <c r="J29" s="2">
        <f>Cleaned_Prepared_Data!I29</f>
        <v>84.2</v>
      </c>
      <c r="K29" s="2">
        <f>Cleaned_Prepared_Data!K29</f>
        <v>0</v>
      </c>
      <c r="L29" s="2">
        <f>Cleaned_Prepared_Data!L29</f>
        <v>3.7</v>
      </c>
      <c r="M29" s="2">
        <f t="shared" si="0"/>
        <v>0</v>
      </c>
      <c r="N29" s="2">
        <f t="shared" si="1"/>
        <v>0</v>
      </c>
      <c r="O29" s="2">
        <f t="shared" si="2"/>
        <v>1</v>
      </c>
    </row>
    <row r="30" spans="1:15" x14ac:dyDescent="0.35">
      <c r="A30" s="2" t="str">
        <f>Cleaned_Prepared_Data!A30</f>
        <v>STR-1008</v>
      </c>
      <c r="B30" s="2" t="str">
        <f>Cleaned_Prepared_Data!P30</f>
        <v>2025-01</v>
      </c>
      <c r="C30" s="2" t="str">
        <f>Cleaned_Prepared_Data!C30</f>
        <v>East</v>
      </c>
      <c r="D30" s="2" t="str">
        <f>Cleaned_Prepared_Data!D30</f>
        <v>Residential</v>
      </c>
      <c r="E30" s="2">
        <f>Cleaned_Prepared_Data!M30</f>
        <v>511844.41</v>
      </c>
      <c r="F30" s="2">
        <f>Cleaned_Prepared_Data!E30</f>
        <v>68600.62</v>
      </c>
      <c r="G30" s="2">
        <f>Cleaned_Prepared_Data!F30</f>
        <v>3988</v>
      </c>
      <c r="H30" s="2">
        <f>Cleaned_Prepared_Data!G30</f>
        <v>0.124</v>
      </c>
      <c r="I30" s="2">
        <f>Cleaned_Prepared_Data!H30</f>
        <v>11</v>
      </c>
      <c r="J30" s="2">
        <f>Cleaned_Prepared_Data!I30</f>
        <v>85</v>
      </c>
      <c r="K30" s="2">
        <f>Cleaned_Prepared_Data!K30</f>
        <v>0</v>
      </c>
      <c r="L30" s="2">
        <f>Cleaned_Prepared_Data!L30</f>
        <v>3.6</v>
      </c>
      <c r="M30" s="2">
        <f t="shared" si="0"/>
        <v>0</v>
      </c>
      <c r="N30" s="2">
        <f t="shared" si="1"/>
        <v>0</v>
      </c>
      <c r="O30" s="2">
        <f t="shared" si="2"/>
        <v>0</v>
      </c>
    </row>
    <row r="31" spans="1:15" x14ac:dyDescent="0.35">
      <c r="A31" s="2" t="str">
        <f>Cleaned_Prepared_Data!A31</f>
        <v>STR-1008</v>
      </c>
      <c r="B31" s="2" t="str">
        <f>Cleaned_Prepared_Data!P31</f>
        <v>2025-02</v>
      </c>
      <c r="C31" s="2" t="str">
        <f>Cleaned_Prepared_Data!C31</f>
        <v>East</v>
      </c>
      <c r="D31" s="2" t="str">
        <f>Cleaned_Prepared_Data!D31</f>
        <v>Residential</v>
      </c>
      <c r="E31" s="2">
        <f>Cleaned_Prepared_Data!M31</f>
        <v>537383.79</v>
      </c>
      <c r="F31" s="2">
        <f>Cleaned_Prepared_Data!E31</f>
        <v>63176.73</v>
      </c>
      <c r="G31" s="2">
        <f>Cleaned_Prepared_Data!F31</f>
        <v>2390</v>
      </c>
      <c r="H31" s="2">
        <f>Cleaned_Prepared_Data!G31</f>
        <v>0.216</v>
      </c>
      <c r="I31" s="2">
        <f>Cleaned_Prepared_Data!H31</f>
        <v>9</v>
      </c>
      <c r="J31" s="2">
        <f>Cleaned_Prepared_Data!I31</f>
        <v>87.5</v>
      </c>
      <c r="K31" s="2">
        <f>Cleaned_Prepared_Data!K31</f>
        <v>0</v>
      </c>
      <c r="L31" s="2">
        <f>Cleaned_Prepared_Data!L31</f>
        <v>3.1</v>
      </c>
      <c r="M31" s="2">
        <f t="shared" si="0"/>
        <v>0</v>
      </c>
      <c r="N31" s="2">
        <f t="shared" si="1"/>
        <v>0</v>
      </c>
      <c r="O31" s="2">
        <f t="shared" si="2"/>
        <v>0</v>
      </c>
    </row>
    <row r="32" spans="1:15" x14ac:dyDescent="0.35">
      <c r="A32" s="2" t="str">
        <f>Cleaned_Prepared_Data!A32</f>
        <v>STR-1008</v>
      </c>
      <c r="B32" s="2" t="str">
        <f>Cleaned_Prepared_Data!P32</f>
        <v>2025-03</v>
      </c>
      <c r="C32" s="2" t="str">
        <f>Cleaned_Prepared_Data!C32</f>
        <v>East</v>
      </c>
      <c r="D32" s="2" t="str">
        <f>Cleaned_Prepared_Data!D32</f>
        <v>Residential</v>
      </c>
      <c r="E32" s="2">
        <f>Cleaned_Prepared_Data!M32</f>
        <v>500173.02</v>
      </c>
      <c r="F32" s="2">
        <f>Cleaned_Prepared_Data!E32</f>
        <v>44970.080000000002</v>
      </c>
      <c r="G32" s="2">
        <f>Cleaned_Prepared_Data!F32</f>
        <v>2471</v>
      </c>
      <c r="H32" s="2">
        <f>Cleaned_Prepared_Data!G32</f>
        <v>0.13600000000000001</v>
      </c>
      <c r="I32" s="2">
        <f>Cleaned_Prepared_Data!H32</f>
        <v>11</v>
      </c>
      <c r="J32" s="2">
        <f>Cleaned_Prepared_Data!I32</f>
        <v>87.6</v>
      </c>
      <c r="K32" s="2">
        <f>Cleaned_Prepared_Data!K32</f>
        <v>1</v>
      </c>
      <c r="L32" s="2">
        <f>Cleaned_Prepared_Data!L32</f>
        <v>3.7</v>
      </c>
      <c r="M32" s="2">
        <f t="shared" si="0"/>
        <v>0</v>
      </c>
      <c r="N32" s="2">
        <f t="shared" si="1"/>
        <v>0</v>
      </c>
      <c r="O32" s="2">
        <f t="shared" si="2"/>
        <v>0</v>
      </c>
    </row>
    <row r="33" spans="1:15" x14ac:dyDescent="0.35">
      <c r="A33" s="2" t="str">
        <f>Cleaned_Prepared_Data!A33</f>
        <v>STR-1008</v>
      </c>
      <c r="B33" s="2" t="str">
        <f>Cleaned_Prepared_Data!P33</f>
        <v>2025-04</v>
      </c>
      <c r="C33" s="2" t="str">
        <f>Cleaned_Prepared_Data!C33</f>
        <v>East</v>
      </c>
      <c r="D33" s="2" t="str">
        <f>Cleaned_Prepared_Data!D33</f>
        <v>Residential</v>
      </c>
      <c r="E33" s="2">
        <f>Cleaned_Prepared_Data!M33</f>
        <v>427917.38</v>
      </c>
      <c r="F33" s="2">
        <f>Cleaned_Prepared_Data!E33</f>
        <v>69816.350000000006</v>
      </c>
      <c r="G33" s="2">
        <f>Cleaned_Prepared_Data!F33</f>
        <v>971</v>
      </c>
      <c r="H33" s="2">
        <f>Cleaned_Prepared_Data!G33</f>
        <v>0.16800000000000001</v>
      </c>
      <c r="I33" s="2">
        <f>Cleaned_Prepared_Data!H33</f>
        <v>5</v>
      </c>
      <c r="J33" s="2">
        <f>Cleaned_Prepared_Data!I33</f>
        <v>89.9</v>
      </c>
      <c r="K33" s="2">
        <f>Cleaned_Prepared_Data!K33</f>
        <v>0</v>
      </c>
      <c r="L33" s="2">
        <f>Cleaned_Prepared_Data!L33</f>
        <v>3.6</v>
      </c>
      <c r="M33" s="2">
        <f t="shared" si="0"/>
        <v>0</v>
      </c>
      <c r="N33" s="2">
        <f t="shared" si="1"/>
        <v>0</v>
      </c>
      <c r="O33" s="2">
        <f t="shared" si="2"/>
        <v>0</v>
      </c>
    </row>
    <row r="34" spans="1:15" x14ac:dyDescent="0.35">
      <c r="A34" s="2" t="str">
        <f>Cleaned_Prepared_Data!A34</f>
        <v>STR-1009</v>
      </c>
      <c r="B34" s="2" t="str">
        <f>Cleaned_Prepared_Data!P34</f>
        <v>2025-01</v>
      </c>
      <c r="C34" s="2" t="str">
        <f>Cleaned_Prepared_Data!C34</f>
        <v>North</v>
      </c>
      <c r="D34" s="2" t="str">
        <f>Cleaned_Prepared_Data!D34</f>
        <v>Residential</v>
      </c>
      <c r="E34" s="2">
        <f>Cleaned_Prepared_Data!M34</f>
        <v>641865.03</v>
      </c>
      <c r="F34" s="2">
        <f>Cleaned_Prepared_Data!E34</f>
        <v>54597.83</v>
      </c>
      <c r="G34" s="2">
        <f>Cleaned_Prepared_Data!F34</f>
        <v>9429</v>
      </c>
      <c r="H34" s="2">
        <f>Cleaned_Prepared_Data!G34</f>
        <v>0.188</v>
      </c>
      <c r="I34" s="2">
        <f>Cleaned_Prepared_Data!H34</f>
        <v>21</v>
      </c>
      <c r="J34" s="2">
        <f>Cleaned_Prepared_Data!I34</f>
        <v>83.3</v>
      </c>
      <c r="K34" s="2">
        <f>Cleaned_Prepared_Data!K34</f>
        <v>0</v>
      </c>
      <c r="L34" s="2">
        <f>Cleaned_Prepared_Data!L34</f>
        <v>4.2</v>
      </c>
      <c r="M34" s="2">
        <f t="shared" si="0"/>
        <v>0</v>
      </c>
      <c r="N34" s="2">
        <f t="shared" si="1"/>
        <v>0</v>
      </c>
      <c r="O34" s="2">
        <f t="shared" si="2"/>
        <v>0</v>
      </c>
    </row>
    <row r="35" spans="1:15" x14ac:dyDescent="0.35">
      <c r="A35" s="2" t="str">
        <f>Cleaned_Prepared_Data!A35</f>
        <v>STR-1009</v>
      </c>
      <c r="B35" s="2" t="str">
        <f>Cleaned_Prepared_Data!P35</f>
        <v>2025-02</v>
      </c>
      <c r="C35" s="2" t="str">
        <f>Cleaned_Prepared_Data!C35</f>
        <v>North</v>
      </c>
      <c r="D35" s="2" t="str">
        <f>Cleaned_Prepared_Data!D35</f>
        <v>Residential</v>
      </c>
      <c r="E35" s="2">
        <f>Cleaned_Prepared_Data!M35</f>
        <v>799477.76000000001</v>
      </c>
      <c r="F35" s="2">
        <f>Cleaned_Prepared_Data!E35</f>
        <v>73771.91</v>
      </c>
      <c r="G35" s="2">
        <f>Cleaned_Prepared_Data!F35</f>
        <v>11695</v>
      </c>
      <c r="H35" s="2">
        <f>Cleaned_Prepared_Data!G35</f>
        <v>7.0000000000000007E-2</v>
      </c>
      <c r="I35" s="2">
        <f>Cleaned_Prepared_Data!H35</f>
        <v>25</v>
      </c>
      <c r="J35" s="2">
        <f>Cleaned_Prepared_Data!I35</f>
        <v>84.7</v>
      </c>
      <c r="K35" s="2">
        <f>Cleaned_Prepared_Data!K35</f>
        <v>0</v>
      </c>
      <c r="L35" s="2">
        <f>Cleaned_Prepared_Data!L35</f>
        <v>0</v>
      </c>
      <c r="M35" s="2">
        <f t="shared" si="0"/>
        <v>0</v>
      </c>
      <c r="N35" s="2">
        <f t="shared" si="1"/>
        <v>0</v>
      </c>
      <c r="O35" s="2">
        <f t="shared" si="2"/>
        <v>0</v>
      </c>
    </row>
    <row r="36" spans="1:15" x14ac:dyDescent="0.35">
      <c r="A36" s="2" t="str">
        <f>Cleaned_Prepared_Data!A36</f>
        <v>STR-1009</v>
      </c>
      <c r="B36" s="2" t="str">
        <f>Cleaned_Prepared_Data!P36</f>
        <v>2025-03</v>
      </c>
      <c r="C36" s="2" t="str">
        <f>Cleaned_Prepared_Data!C36</f>
        <v>North</v>
      </c>
      <c r="D36" s="2" t="str">
        <f>Cleaned_Prepared_Data!D36</f>
        <v>Residential</v>
      </c>
      <c r="E36" s="2">
        <f>Cleaned_Prepared_Data!M36</f>
        <v>798952.17</v>
      </c>
      <c r="F36" s="2">
        <f>Cleaned_Prepared_Data!E36</f>
        <v>74413.88</v>
      </c>
      <c r="G36" s="2">
        <f>Cleaned_Prepared_Data!F36</f>
        <v>9449</v>
      </c>
      <c r="H36" s="2">
        <f>Cleaned_Prepared_Data!G36</f>
        <v>3.9E-2</v>
      </c>
      <c r="I36" s="2">
        <f>Cleaned_Prepared_Data!H36</f>
        <v>23</v>
      </c>
      <c r="J36" s="2">
        <f>Cleaned_Prepared_Data!I36</f>
        <v>92.1</v>
      </c>
      <c r="K36" s="2">
        <f>Cleaned_Prepared_Data!K36</f>
        <v>0</v>
      </c>
      <c r="L36" s="2">
        <f>Cleaned_Prepared_Data!L36</f>
        <v>3.5</v>
      </c>
      <c r="M36" s="2">
        <f t="shared" si="0"/>
        <v>0</v>
      </c>
      <c r="N36" s="2">
        <f t="shared" si="1"/>
        <v>0</v>
      </c>
      <c r="O36" s="2">
        <f t="shared" si="2"/>
        <v>0</v>
      </c>
    </row>
    <row r="37" spans="1:15" x14ac:dyDescent="0.35">
      <c r="A37" s="2" t="str">
        <f>Cleaned_Prepared_Data!A37</f>
        <v>STR-1009</v>
      </c>
      <c r="B37" s="2" t="str">
        <f>Cleaned_Prepared_Data!P37</f>
        <v>2025-04</v>
      </c>
      <c r="C37" s="2" t="str">
        <f>Cleaned_Prepared_Data!C37</f>
        <v>North</v>
      </c>
      <c r="D37" s="2" t="str">
        <f>Cleaned_Prepared_Data!D37</f>
        <v>Residential</v>
      </c>
      <c r="E37" s="2">
        <f>Cleaned_Prepared_Data!M37</f>
        <v>800979.78</v>
      </c>
      <c r="F37" s="2">
        <f>Cleaned_Prepared_Data!E37</f>
        <v>52483.77</v>
      </c>
      <c r="G37" s="2">
        <f>Cleaned_Prepared_Data!F37</f>
        <v>10453</v>
      </c>
      <c r="H37" s="2">
        <f>Cleaned_Prepared_Data!G37</f>
        <v>0.247</v>
      </c>
      <c r="I37" s="2">
        <f>Cleaned_Prepared_Data!H37</f>
        <v>25</v>
      </c>
      <c r="J37" s="2">
        <f>Cleaned_Prepared_Data!I37</f>
        <v>99</v>
      </c>
      <c r="K37" s="2">
        <f>Cleaned_Prepared_Data!K37</f>
        <v>0</v>
      </c>
      <c r="L37" s="2">
        <f>Cleaned_Prepared_Data!L37</f>
        <v>3.6</v>
      </c>
      <c r="M37" s="2">
        <f t="shared" si="0"/>
        <v>0</v>
      </c>
      <c r="N37" s="2">
        <f t="shared" si="1"/>
        <v>0</v>
      </c>
      <c r="O37" s="2">
        <f t="shared" si="2"/>
        <v>0</v>
      </c>
    </row>
    <row r="38" spans="1:15" x14ac:dyDescent="0.35">
      <c r="A38" s="2" t="str">
        <f>Cleaned_Prepared_Data!A38</f>
        <v>STR-1010</v>
      </c>
      <c r="B38" s="2" t="str">
        <f>Cleaned_Prepared_Data!P38</f>
        <v>2025-01</v>
      </c>
      <c r="C38" s="2" t="str">
        <f>Cleaned_Prepared_Data!C38</f>
        <v>North</v>
      </c>
      <c r="D38" s="2" t="str">
        <f>Cleaned_Prepared_Data!D38</f>
        <v>Mall</v>
      </c>
      <c r="E38" s="2">
        <f>Cleaned_Prepared_Data!M38</f>
        <v>820593.93</v>
      </c>
      <c r="F38" s="2">
        <f>Cleaned_Prepared_Data!E38</f>
        <v>75269.87</v>
      </c>
      <c r="G38" s="2">
        <f>Cleaned_Prepared_Data!F38</f>
        <v>8838</v>
      </c>
      <c r="H38" s="2">
        <f>Cleaned_Prepared_Data!G38</f>
        <v>9.1999999999999998E-2</v>
      </c>
      <c r="I38" s="2">
        <f>Cleaned_Prepared_Data!H38</f>
        <v>21</v>
      </c>
      <c r="J38" s="2">
        <f>Cleaned_Prepared_Data!I38</f>
        <v>83.1</v>
      </c>
      <c r="K38" s="2">
        <f>Cleaned_Prepared_Data!K38</f>
        <v>1</v>
      </c>
      <c r="L38" s="2">
        <f>Cleaned_Prepared_Data!L38</f>
        <v>4.2</v>
      </c>
      <c r="M38" s="2">
        <f t="shared" si="0"/>
        <v>0</v>
      </c>
      <c r="N38" s="2">
        <f t="shared" si="1"/>
        <v>0</v>
      </c>
      <c r="O38" s="2">
        <f t="shared" si="2"/>
        <v>1</v>
      </c>
    </row>
    <row r="39" spans="1:15" x14ac:dyDescent="0.35">
      <c r="A39" s="2" t="str">
        <f>Cleaned_Prepared_Data!A39</f>
        <v>STR-1010</v>
      </c>
      <c r="B39" s="2" t="str">
        <f>Cleaned_Prepared_Data!P39</f>
        <v>2025-02</v>
      </c>
      <c r="C39" s="2" t="str">
        <f>Cleaned_Prepared_Data!C39</f>
        <v>North</v>
      </c>
      <c r="D39" s="2" t="str">
        <f>Cleaned_Prepared_Data!D39</f>
        <v>Mall</v>
      </c>
      <c r="E39" s="2">
        <f>Cleaned_Prepared_Data!M39</f>
        <v>718330.53</v>
      </c>
      <c r="F39" s="2">
        <f>Cleaned_Prepared_Data!E39</f>
        <v>61245.41</v>
      </c>
      <c r="G39" s="2">
        <f>Cleaned_Prepared_Data!F39</f>
        <v>8156</v>
      </c>
      <c r="H39" s="2">
        <f>Cleaned_Prepared_Data!G39</f>
        <v>0.156</v>
      </c>
      <c r="I39" s="2">
        <f>Cleaned_Prepared_Data!H39</f>
        <v>19</v>
      </c>
      <c r="J39" s="2">
        <f>Cleaned_Prepared_Data!I39</f>
        <v>92.9</v>
      </c>
      <c r="K39" s="2">
        <f>Cleaned_Prepared_Data!K39</f>
        <v>0</v>
      </c>
      <c r="L39" s="2">
        <f>Cleaned_Prepared_Data!L39</f>
        <v>3.8</v>
      </c>
      <c r="M39" s="2">
        <f t="shared" si="0"/>
        <v>0</v>
      </c>
      <c r="N39" s="2">
        <f t="shared" si="1"/>
        <v>0</v>
      </c>
      <c r="O39" s="2">
        <f t="shared" si="2"/>
        <v>1</v>
      </c>
    </row>
    <row r="40" spans="1:15" x14ac:dyDescent="0.35">
      <c r="A40" s="2" t="str">
        <f>Cleaned_Prepared_Data!A40</f>
        <v>STR-1010</v>
      </c>
      <c r="B40" s="2" t="str">
        <f>Cleaned_Prepared_Data!P40</f>
        <v>2025-03</v>
      </c>
      <c r="C40" s="2" t="str">
        <f>Cleaned_Prepared_Data!C40</f>
        <v>North</v>
      </c>
      <c r="D40" s="2" t="str">
        <f>Cleaned_Prepared_Data!D40</f>
        <v>Mall</v>
      </c>
      <c r="E40" s="2">
        <f>Cleaned_Prepared_Data!M40</f>
        <v>736633.4</v>
      </c>
      <c r="F40" s="2">
        <f>Cleaned_Prepared_Data!E40</f>
        <v>93381.26</v>
      </c>
      <c r="G40" s="2">
        <f>Cleaned_Prepared_Data!F40</f>
        <v>7562</v>
      </c>
      <c r="H40" s="2">
        <f>Cleaned_Prepared_Data!G40</f>
        <v>0.19800000000000001</v>
      </c>
      <c r="I40" s="2">
        <f>Cleaned_Prepared_Data!H40</f>
        <v>19</v>
      </c>
      <c r="J40" s="2">
        <f>Cleaned_Prepared_Data!I40</f>
        <v>82.9</v>
      </c>
      <c r="K40" s="2">
        <f>Cleaned_Prepared_Data!K40</f>
        <v>0</v>
      </c>
      <c r="L40" s="2">
        <f>Cleaned_Prepared_Data!L40</f>
        <v>4</v>
      </c>
      <c r="M40" s="2">
        <f t="shared" si="0"/>
        <v>0</v>
      </c>
      <c r="N40" s="2">
        <f t="shared" si="1"/>
        <v>0</v>
      </c>
      <c r="O40" s="2">
        <f t="shared" si="2"/>
        <v>1</v>
      </c>
    </row>
    <row r="41" spans="1:15" x14ac:dyDescent="0.35">
      <c r="A41" s="2" t="str">
        <f>Cleaned_Prepared_Data!A41</f>
        <v>STR-1010</v>
      </c>
      <c r="B41" s="2" t="str">
        <f>Cleaned_Prepared_Data!P41</f>
        <v>2025-04</v>
      </c>
      <c r="C41" s="2" t="str">
        <f>Cleaned_Prepared_Data!C41</f>
        <v>North</v>
      </c>
      <c r="D41" s="2" t="str">
        <f>Cleaned_Prepared_Data!D41</f>
        <v>Mall</v>
      </c>
      <c r="E41" s="2">
        <f>Cleaned_Prepared_Data!M41</f>
        <v>828623.85</v>
      </c>
      <c r="F41" s="2">
        <f>Cleaned_Prepared_Data!E41</f>
        <v>65012.19</v>
      </c>
      <c r="G41" s="2">
        <f>Cleaned_Prepared_Data!F41</f>
        <v>9598</v>
      </c>
      <c r="H41" s="2">
        <f>Cleaned_Prepared_Data!G41</f>
        <v>8.5000000000000006E-2</v>
      </c>
      <c r="I41" s="2">
        <f>Cleaned_Prepared_Data!H41</f>
        <v>24</v>
      </c>
      <c r="J41" s="2">
        <f>Cleaned_Prepared_Data!I41</f>
        <v>98.3</v>
      </c>
      <c r="K41" s="2">
        <f>Cleaned_Prepared_Data!K41</f>
        <v>0</v>
      </c>
      <c r="L41" s="2">
        <f>Cleaned_Prepared_Data!L41</f>
        <v>3.8</v>
      </c>
      <c r="M41" s="2">
        <f t="shared" si="0"/>
        <v>0</v>
      </c>
      <c r="N41" s="2">
        <f t="shared" si="1"/>
        <v>0</v>
      </c>
      <c r="O41" s="2">
        <f t="shared" si="2"/>
        <v>1</v>
      </c>
    </row>
    <row r="42" spans="1:15" x14ac:dyDescent="0.35">
      <c r="A42" s="2" t="str">
        <f>Cleaned_Prepared_Data!A42</f>
        <v>STR-1011</v>
      </c>
      <c r="B42" s="2" t="str">
        <f>Cleaned_Prepared_Data!P42</f>
        <v>2025-01</v>
      </c>
      <c r="C42" s="2" t="str">
        <f>Cleaned_Prepared_Data!C42</f>
        <v>East</v>
      </c>
      <c r="D42" s="2" t="str">
        <f>Cleaned_Prepared_Data!D42</f>
        <v>Mall</v>
      </c>
      <c r="E42" s="2">
        <f>Cleaned_Prepared_Data!M42</f>
        <v>592195.85</v>
      </c>
      <c r="F42" s="2">
        <f>Cleaned_Prepared_Data!E42</f>
        <v>40462.94</v>
      </c>
      <c r="G42" s="2">
        <f>Cleaned_Prepared_Data!F42</f>
        <v>3660</v>
      </c>
      <c r="H42" s="2">
        <f>Cleaned_Prepared_Data!G42</f>
        <v>0.218</v>
      </c>
      <c r="I42" s="2">
        <f>Cleaned_Prepared_Data!H42</f>
        <v>11</v>
      </c>
      <c r="J42" s="2">
        <f>Cleaned_Prepared_Data!I42</f>
        <v>95.2</v>
      </c>
      <c r="K42" s="2">
        <f>Cleaned_Prepared_Data!K42</f>
        <v>0</v>
      </c>
      <c r="L42" s="2">
        <f>Cleaned_Prepared_Data!L42</f>
        <v>4.4000000000000004</v>
      </c>
      <c r="M42" s="2">
        <f t="shared" si="0"/>
        <v>0</v>
      </c>
      <c r="N42" s="2">
        <f t="shared" si="1"/>
        <v>0</v>
      </c>
      <c r="O42" s="2">
        <f t="shared" si="2"/>
        <v>1</v>
      </c>
    </row>
    <row r="43" spans="1:15" x14ac:dyDescent="0.35">
      <c r="A43" s="2" t="str">
        <f>Cleaned_Prepared_Data!A43</f>
        <v>STR-1011</v>
      </c>
      <c r="B43" s="2" t="str">
        <f>Cleaned_Prepared_Data!P43</f>
        <v>2025-02</v>
      </c>
      <c r="C43" s="2" t="str">
        <f>Cleaned_Prepared_Data!C43</f>
        <v>East</v>
      </c>
      <c r="D43" s="2" t="str">
        <f>Cleaned_Prepared_Data!D43</f>
        <v>Mall</v>
      </c>
      <c r="E43" s="2">
        <f>Cleaned_Prepared_Data!M43</f>
        <v>532644.46</v>
      </c>
      <c r="F43" s="2">
        <f>Cleaned_Prepared_Data!E43</f>
        <v>46123.88</v>
      </c>
      <c r="G43" s="2">
        <f>Cleaned_Prepared_Data!F43</f>
        <v>3227</v>
      </c>
      <c r="H43" s="2">
        <f>Cleaned_Prepared_Data!G43</f>
        <v>0.14299999999999999</v>
      </c>
      <c r="I43" s="2">
        <f>Cleaned_Prepared_Data!H43</f>
        <v>10</v>
      </c>
      <c r="J43" s="2">
        <f>Cleaned_Prepared_Data!I43</f>
        <v>75.400000000000006</v>
      </c>
      <c r="K43" s="2">
        <f>Cleaned_Prepared_Data!K43</f>
        <v>0</v>
      </c>
      <c r="L43" s="2">
        <f>Cleaned_Prepared_Data!L43</f>
        <v>4.4000000000000004</v>
      </c>
      <c r="M43" s="2">
        <f t="shared" si="0"/>
        <v>0</v>
      </c>
      <c r="N43" s="2">
        <f t="shared" si="1"/>
        <v>0</v>
      </c>
      <c r="O43" s="2">
        <f t="shared" si="2"/>
        <v>1</v>
      </c>
    </row>
    <row r="44" spans="1:15" x14ac:dyDescent="0.35">
      <c r="A44" s="2" t="str">
        <f>Cleaned_Prepared_Data!A44</f>
        <v>STR-1011</v>
      </c>
      <c r="B44" s="2" t="str">
        <f>Cleaned_Prepared_Data!P44</f>
        <v>2025-03</v>
      </c>
      <c r="C44" s="2" t="str">
        <f>Cleaned_Prepared_Data!C44</f>
        <v>East</v>
      </c>
      <c r="D44" s="2" t="str">
        <f>Cleaned_Prepared_Data!D44</f>
        <v>Mall</v>
      </c>
      <c r="E44" s="2">
        <f>Cleaned_Prepared_Data!M44</f>
        <v>657429.18000000005</v>
      </c>
      <c r="F44" s="2">
        <f>Cleaned_Prepared_Data!E44</f>
        <v>68077.539999999994</v>
      </c>
      <c r="G44" s="2">
        <f>Cleaned_Prepared_Data!F44</f>
        <v>3360</v>
      </c>
      <c r="H44" s="2">
        <f>Cleaned_Prepared_Data!G44</f>
        <v>0.128</v>
      </c>
      <c r="I44" s="2">
        <f>Cleaned_Prepared_Data!H44</f>
        <v>14</v>
      </c>
      <c r="J44" s="2">
        <f>Cleaned_Prepared_Data!I44</f>
        <v>88.2</v>
      </c>
      <c r="K44" s="2">
        <f>Cleaned_Prepared_Data!K44</f>
        <v>1</v>
      </c>
      <c r="L44" s="2">
        <f>Cleaned_Prepared_Data!L44</f>
        <v>4</v>
      </c>
      <c r="M44" s="2">
        <f t="shared" si="0"/>
        <v>0</v>
      </c>
      <c r="N44" s="2">
        <f t="shared" si="1"/>
        <v>0</v>
      </c>
      <c r="O44" s="2">
        <f t="shared" si="2"/>
        <v>1</v>
      </c>
    </row>
    <row r="45" spans="1:15" x14ac:dyDescent="0.35">
      <c r="A45" s="2" t="str">
        <f>Cleaned_Prepared_Data!A45</f>
        <v>STR-1011</v>
      </c>
      <c r="B45" s="2" t="str">
        <f>Cleaned_Prepared_Data!P45</f>
        <v>2025-04</v>
      </c>
      <c r="C45" s="2" t="str">
        <f>Cleaned_Prepared_Data!C45</f>
        <v>East</v>
      </c>
      <c r="D45" s="2" t="str">
        <f>Cleaned_Prepared_Data!D45</f>
        <v>Mall</v>
      </c>
      <c r="E45" s="2">
        <f>Cleaned_Prepared_Data!M45</f>
        <v>605178</v>
      </c>
      <c r="F45" s="2">
        <f>Cleaned_Prepared_Data!E45</f>
        <v>64882.14</v>
      </c>
      <c r="G45" s="2">
        <f>Cleaned_Prepared_Data!F45</f>
        <v>3642</v>
      </c>
      <c r="H45" s="2">
        <f>Cleaned_Prepared_Data!G45</f>
        <v>1.9E-2</v>
      </c>
      <c r="I45" s="2">
        <f>Cleaned_Prepared_Data!H45</f>
        <v>13</v>
      </c>
      <c r="J45" s="2">
        <f>Cleaned_Prepared_Data!I45</f>
        <v>87.8</v>
      </c>
      <c r="K45" s="2">
        <f>Cleaned_Prepared_Data!K45</f>
        <v>0</v>
      </c>
      <c r="L45" s="2">
        <f>Cleaned_Prepared_Data!L45</f>
        <v>4.2</v>
      </c>
      <c r="M45" s="2">
        <f t="shared" si="0"/>
        <v>0</v>
      </c>
      <c r="N45" s="2">
        <f t="shared" si="1"/>
        <v>0</v>
      </c>
      <c r="O45" s="2">
        <f t="shared" si="2"/>
        <v>1</v>
      </c>
    </row>
    <row r="46" spans="1:15" x14ac:dyDescent="0.35">
      <c r="A46" s="2" t="str">
        <f>Cleaned_Prepared_Data!A46</f>
        <v>STR-1012</v>
      </c>
      <c r="B46" s="2" t="str">
        <f>Cleaned_Prepared_Data!P46</f>
        <v>2025-01</v>
      </c>
      <c r="C46" s="2" t="str">
        <f>Cleaned_Prepared_Data!C46</f>
        <v>West</v>
      </c>
      <c r="D46" s="2" t="str">
        <f>Cleaned_Prepared_Data!D46</f>
        <v>Residential</v>
      </c>
      <c r="E46" s="2">
        <f>Cleaned_Prepared_Data!M46</f>
        <v>595467.6</v>
      </c>
      <c r="F46" s="2">
        <f>Cleaned_Prepared_Data!E46</f>
        <v>138855.51</v>
      </c>
      <c r="G46" s="2">
        <f>Cleaned_Prepared_Data!F46</f>
        <v>5145</v>
      </c>
      <c r="H46" s="2">
        <f>Cleaned_Prepared_Data!G46</f>
        <v>0.06</v>
      </c>
      <c r="I46" s="2">
        <f>Cleaned_Prepared_Data!H46</f>
        <v>17</v>
      </c>
      <c r="J46" s="2">
        <f>Cleaned_Prepared_Data!I46</f>
        <v>88.2</v>
      </c>
      <c r="K46" s="2">
        <f>Cleaned_Prepared_Data!K46</f>
        <v>0</v>
      </c>
      <c r="L46" s="2">
        <f>Cleaned_Prepared_Data!L46</f>
        <v>3.2</v>
      </c>
      <c r="M46" s="2">
        <f t="shared" si="0"/>
        <v>0</v>
      </c>
      <c r="N46" s="2">
        <f t="shared" si="1"/>
        <v>0</v>
      </c>
      <c r="O46" s="2">
        <f t="shared" si="2"/>
        <v>0</v>
      </c>
    </row>
    <row r="47" spans="1:15" x14ac:dyDescent="0.35">
      <c r="A47" s="2" t="str">
        <f>Cleaned_Prepared_Data!A47</f>
        <v>STR-1012</v>
      </c>
      <c r="B47" s="2" t="str">
        <f>Cleaned_Prepared_Data!P47</f>
        <v>2025-02</v>
      </c>
      <c r="C47" s="2" t="str">
        <f>Cleaned_Prepared_Data!C47</f>
        <v>West</v>
      </c>
      <c r="D47" s="2" t="str">
        <f>Cleaned_Prepared_Data!D47</f>
        <v>Residential</v>
      </c>
      <c r="E47" s="2">
        <f>Cleaned_Prepared_Data!M47</f>
        <v>599603.4</v>
      </c>
      <c r="F47" s="2">
        <f>Cleaned_Prepared_Data!E47</f>
        <v>63630.21</v>
      </c>
      <c r="G47" s="2">
        <f>Cleaned_Prepared_Data!F47</f>
        <v>4460</v>
      </c>
      <c r="H47" s="2">
        <f>Cleaned_Prepared_Data!G47</f>
        <v>0.23499999999999999</v>
      </c>
      <c r="I47" s="2">
        <f>Cleaned_Prepared_Data!H47</f>
        <v>14</v>
      </c>
      <c r="J47" s="2">
        <f>Cleaned_Prepared_Data!I47</f>
        <v>98.6</v>
      </c>
      <c r="K47" s="2">
        <f>Cleaned_Prepared_Data!K47</f>
        <v>0</v>
      </c>
      <c r="L47" s="2">
        <f>Cleaned_Prepared_Data!L47</f>
        <v>3.5</v>
      </c>
      <c r="M47" s="2">
        <f t="shared" si="0"/>
        <v>0</v>
      </c>
      <c r="N47" s="2">
        <f t="shared" si="1"/>
        <v>0</v>
      </c>
      <c r="O47" s="2">
        <f t="shared" si="2"/>
        <v>0</v>
      </c>
    </row>
    <row r="48" spans="1:15" x14ac:dyDescent="0.35">
      <c r="A48" s="2" t="str">
        <f>Cleaned_Prepared_Data!A48</f>
        <v>STR-1012</v>
      </c>
      <c r="B48" s="2" t="str">
        <f>Cleaned_Prepared_Data!P48</f>
        <v>2025-03</v>
      </c>
      <c r="C48" s="2" t="str">
        <f>Cleaned_Prepared_Data!C48</f>
        <v>West</v>
      </c>
      <c r="D48" s="2" t="str">
        <f>Cleaned_Prepared_Data!D48</f>
        <v>Residential</v>
      </c>
      <c r="E48" s="2">
        <f>Cleaned_Prepared_Data!M48</f>
        <v>614800.09</v>
      </c>
      <c r="F48" s="2">
        <f>Cleaned_Prepared_Data!E48</f>
        <v>50043.65</v>
      </c>
      <c r="G48" s="2">
        <f>Cleaned_Prepared_Data!F48</f>
        <v>3804</v>
      </c>
      <c r="H48" s="2">
        <f>Cleaned_Prepared_Data!G48</f>
        <v>0.113</v>
      </c>
      <c r="I48" s="2">
        <f>Cleaned_Prepared_Data!H48</f>
        <v>11</v>
      </c>
      <c r="J48" s="2">
        <f>Cleaned_Prepared_Data!I48</f>
        <v>90.9</v>
      </c>
      <c r="K48" s="2">
        <f>Cleaned_Prepared_Data!K48</f>
        <v>1</v>
      </c>
      <c r="L48" s="2">
        <f>Cleaned_Prepared_Data!L48</f>
        <v>3.2</v>
      </c>
      <c r="M48" s="2">
        <f t="shared" si="0"/>
        <v>0</v>
      </c>
      <c r="N48" s="2">
        <f t="shared" si="1"/>
        <v>0</v>
      </c>
      <c r="O48" s="2">
        <f t="shared" si="2"/>
        <v>0</v>
      </c>
    </row>
    <row r="49" spans="1:15" x14ac:dyDescent="0.35">
      <c r="A49" s="2" t="str">
        <f>Cleaned_Prepared_Data!A49</f>
        <v>STR-1012</v>
      </c>
      <c r="B49" s="2" t="str">
        <f>Cleaned_Prepared_Data!P49</f>
        <v>2025-04</v>
      </c>
      <c r="C49" s="2" t="str">
        <f>Cleaned_Prepared_Data!C49</f>
        <v>West</v>
      </c>
      <c r="D49" s="2" t="str">
        <f>Cleaned_Prepared_Data!D49</f>
        <v>Residential</v>
      </c>
      <c r="E49" s="2">
        <f>Cleaned_Prepared_Data!M49</f>
        <v>585365.73</v>
      </c>
      <c r="F49" s="2">
        <f>Cleaned_Prepared_Data!E49</f>
        <v>42093.84</v>
      </c>
      <c r="G49" s="2">
        <f>Cleaned_Prepared_Data!F49</f>
        <v>4074</v>
      </c>
      <c r="H49" s="2">
        <f>Cleaned_Prepared_Data!G49</f>
        <v>0.155</v>
      </c>
      <c r="I49" s="2">
        <f>Cleaned_Prepared_Data!H49</f>
        <v>15</v>
      </c>
      <c r="J49" s="2">
        <f>Cleaned_Prepared_Data!I49</f>
        <v>88</v>
      </c>
      <c r="K49" s="2">
        <f>Cleaned_Prepared_Data!K49</f>
        <v>0</v>
      </c>
      <c r="L49" s="2">
        <f>Cleaned_Prepared_Data!L49</f>
        <v>3.3</v>
      </c>
      <c r="M49" s="2">
        <f t="shared" si="0"/>
        <v>0</v>
      </c>
      <c r="N49" s="2">
        <f t="shared" si="1"/>
        <v>0</v>
      </c>
      <c r="O49" s="2">
        <f t="shared" si="2"/>
        <v>0</v>
      </c>
    </row>
    <row r="50" spans="1:15" x14ac:dyDescent="0.35">
      <c r="A50" s="2" t="str">
        <f>Cleaned_Prepared_Data!A50</f>
        <v>STR-1013</v>
      </c>
      <c r="B50" s="2" t="str">
        <f>Cleaned_Prepared_Data!P50</f>
        <v>2025-01</v>
      </c>
      <c r="C50" s="2" t="str">
        <f>Cleaned_Prepared_Data!C50</f>
        <v>North</v>
      </c>
      <c r="D50" s="2" t="str">
        <f>Cleaned_Prepared_Data!D50</f>
        <v>Mall</v>
      </c>
      <c r="E50" s="2">
        <f>Cleaned_Prepared_Data!M50</f>
        <v>622811.74</v>
      </c>
      <c r="F50" s="2">
        <f>Cleaned_Prepared_Data!E50</f>
        <v>46624.05</v>
      </c>
      <c r="G50" s="2">
        <f>Cleaned_Prepared_Data!F50</f>
        <v>5104</v>
      </c>
      <c r="H50" s="2">
        <f>Cleaned_Prepared_Data!G50</f>
        <v>0.109</v>
      </c>
      <c r="I50" s="2">
        <f>Cleaned_Prepared_Data!H50</f>
        <v>11</v>
      </c>
      <c r="J50" s="2">
        <f>Cleaned_Prepared_Data!I50</f>
        <v>97.3</v>
      </c>
      <c r="K50" s="2">
        <f>Cleaned_Prepared_Data!K50</f>
        <v>1</v>
      </c>
      <c r="L50" s="2">
        <f>Cleaned_Prepared_Data!L50</f>
        <v>4.7</v>
      </c>
      <c r="M50" s="2">
        <f t="shared" si="0"/>
        <v>0</v>
      </c>
      <c r="N50" s="2">
        <f t="shared" si="1"/>
        <v>0</v>
      </c>
      <c r="O50" s="2">
        <f t="shared" si="2"/>
        <v>1</v>
      </c>
    </row>
    <row r="51" spans="1:15" x14ac:dyDescent="0.35">
      <c r="A51" s="2" t="str">
        <f>Cleaned_Prepared_Data!A51</f>
        <v>STR-1013</v>
      </c>
      <c r="B51" s="2" t="str">
        <f>Cleaned_Prepared_Data!P51</f>
        <v>2025-02</v>
      </c>
      <c r="C51" s="2" t="str">
        <f>Cleaned_Prepared_Data!C51</f>
        <v>North</v>
      </c>
      <c r="D51" s="2" t="str">
        <f>Cleaned_Prepared_Data!D51</f>
        <v>Mall</v>
      </c>
      <c r="E51" s="2">
        <f>Cleaned_Prepared_Data!M51</f>
        <v>603297.56999999995</v>
      </c>
      <c r="F51" s="2">
        <f>Cleaned_Prepared_Data!E51</f>
        <v>49710.29</v>
      </c>
      <c r="G51" s="2">
        <f>Cleaned_Prepared_Data!F51</f>
        <v>5559</v>
      </c>
      <c r="H51" s="2">
        <f>Cleaned_Prepared_Data!G51</f>
        <v>0.218</v>
      </c>
      <c r="I51" s="2">
        <f>Cleaned_Prepared_Data!H51</f>
        <v>14</v>
      </c>
      <c r="J51" s="2">
        <f>Cleaned_Prepared_Data!I51</f>
        <v>71</v>
      </c>
      <c r="K51" s="2">
        <f>Cleaned_Prepared_Data!K51</f>
        <v>0</v>
      </c>
      <c r="L51" s="2">
        <f>Cleaned_Prepared_Data!L51</f>
        <v>4.5999999999999996</v>
      </c>
      <c r="M51" s="2">
        <f t="shared" si="0"/>
        <v>0</v>
      </c>
      <c r="N51" s="2">
        <f t="shared" si="1"/>
        <v>0</v>
      </c>
      <c r="O51" s="2">
        <f t="shared" si="2"/>
        <v>1</v>
      </c>
    </row>
    <row r="52" spans="1:15" x14ac:dyDescent="0.35">
      <c r="A52" s="2" t="str">
        <f>Cleaned_Prepared_Data!A52</f>
        <v>STR-1013</v>
      </c>
      <c r="B52" s="2" t="str">
        <f>Cleaned_Prepared_Data!P52</f>
        <v>2025-03</v>
      </c>
      <c r="C52" s="2" t="str">
        <f>Cleaned_Prepared_Data!C52</f>
        <v>North</v>
      </c>
      <c r="D52" s="2" t="str">
        <f>Cleaned_Prepared_Data!D52</f>
        <v>Mall</v>
      </c>
      <c r="E52" s="2">
        <f>Cleaned_Prepared_Data!M52</f>
        <v>625672.86</v>
      </c>
      <c r="F52" s="2">
        <f>Cleaned_Prepared_Data!E52</f>
        <v>48287.85</v>
      </c>
      <c r="G52" s="2">
        <f>Cleaned_Prepared_Data!F52</f>
        <v>5150</v>
      </c>
      <c r="H52" s="2">
        <f>Cleaned_Prepared_Data!G52</f>
        <v>8.0000000000000002E-3</v>
      </c>
      <c r="I52" s="2">
        <f>Cleaned_Prepared_Data!H52</f>
        <v>12</v>
      </c>
      <c r="J52" s="2">
        <f>Cleaned_Prepared_Data!I52</f>
        <v>80.400000000000006</v>
      </c>
      <c r="K52" s="2">
        <f>Cleaned_Prepared_Data!K52</f>
        <v>0</v>
      </c>
      <c r="L52" s="2">
        <f>Cleaned_Prepared_Data!L52</f>
        <v>4.5</v>
      </c>
      <c r="M52" s="2">
        <f t="shared" si="0"/>
        <v>0</v>
      </c>
      <c r="N52" s="2">
        <f t="shared" si="1"/>
        <v>0</v>
      </c>
      <c r="O52" s="2">
        <f t="shared" si="2"/>
        <v>1</v>
      </c>
    </row>
    <row r="53" spans="1:15" x14ac:dyDescent="0.35">
      <c r="A53" s="2" t="str">
        <f>Cleaned_Prepared_Data!A53</f>
        <v>STR-1013</v>
      </c>
      <c r="B53" s="2" t="str">
        <f>Cleaned_Prepared_Data!P53</f>
        <v>2025-04</v>
      </c>
      <c r="C53" s="2" t="str">
        <f>Cleaned_Prepared_Data!C53</f>
        <v>North</v>
      </c>
      <c r="D53" s="2" t="str">
        <f>Cleaned_Prepared_Data!D53</f>
        <v>Mall</v>
      </c>
      <c r="E53" s="2">
        <f>Cleaned_Prepared_Data!M53</f>
        <v>773815.14</v>
      </c>
      <c r="F53" s="2">
        <f>Cleaned_Prepared_Data!E53</f>
        <v>65312.49</v>
      </c>
      <c r="G53" s="2">
        <f>Cleaned_Prepared_Data!F53</f>
        <v>7189</v>
      </c>
      <c r="H53" s="2">
        <f>Cleaned_Prepared_Data!G53</f>
        <v>0.05</v>
      </c>
      <c r="I53" s="2">
        <f>Cleaned_Prepared_Data!H53</f>
        <v>19</v>
      </c>
      <c r="J53" s="2">
        <f>Cleaned_Prepared_Data!I53</f>
        <v>93.7</v>
      </c>
      <c r="K53" s="2">
        <f>Cleaned_Prepared_Data!K53</f>
        <v>0</v>
      </c>
      <c r="L53" s="2">
        <f>Cleaned_Prepared_Data!L53</f>
        <v>4.5999999999999996</v>
      </c>
      <c r="M53" s="2">
        <f t="shared" si="0"/>
        <v>0</v>
      </c>
      <c r="N53" s="2">
        <f t="shared" si="1"/>
        <v>0</v>
      </c>
      <c r="O53" s="2">
        <f t="shared" si="2"/>
        <v>1</v>
      </c>
    </row>
    <row r="54" spans="1:15" x14ac:dyDescent="0.35">
      <c r="A54" s="2" t="str">
        <f>Cleaned_Prepared_Data!A54</f>
        <v>STR-1014</v>
      </c>
      <c r="B54" s="2" t="str">
        <f>Cleaned_Prepared_Data!P54</f>
        <v>2025-01</v>
      </c>
      <c r="C54" s="2" t="str">
        <f>Cleaned_Prepared_Data!C54</f>
        <v>West</v>
      </c>
      <c r="D54" s="2" t="str">
        <f>Cleaned_Prepared_Data!D54</f>
        <v>High Street</v>
      </c>
      <c r="E54" s="2">
        <f>Cleaned_Prepared_Data!M54</f>
        <v>463534.25</v>
      </c>
      <c r="F54" s="2">
        <f>Cleaned_Prepared_Data!E54</f>
        <v>53015.46</v>
      </c>
      <c r="G54" s="2">
        <f>Cleaned_Prepared_Data!F54</f>
        <v>3279</v>
      </c>
      <c r="H54" s="2">
        <f>Cleaned_Prepared_Data!G54</f>
        <v>8.6999999999999994E-2</v>
      </c>
      <c r="I54" s="2">
        <f>Cleaned_Prepared_Data!H54</f>
        <v>9</v>
      </c>
      <c r="J54" s="2">
        <f>Cleaned_Prepared_Data!I54</f>
        <v>84.3</v>
      </c>
      <c r="K54" s="2">
        <f>Cleaned_Prepared_Data!K54</f>
        <v>0</v>
      </c>
      <c r="L54" s="2">
        <f>Cleaned_Prepared_Data!L54</f>
        <v>3.9</v>
      </c>
      <c r="M54" s="2">
        <f t="shared" si="0"/>
        <v>0</v>
      </c>
      <c r="N54" s="2">
        <f t="shared" si="1"/>
        <v>1</v>
      </c>
      <c r="O54" s="2">
        <f t="shared" si="2"/>
        <v>0</v>
      </c>
    </row>
    <row r="55" spans="1:15" x14ac:dyDescent="0.35">
      <c r="A55" s="2" t="str">
        <f>Cleaned_Prepared_Data!A55</f>
        <v>STR-1014</v>
      </c>
      <c r="B55" s="2" t="str">
        <f>Cleaned_Prepared_Data!P55</f>
        <v>2025-02</v>
      </c>
      <c r="C55" s="2" t="str">
        <f>Cleaned_Prepared_Data!C55</f>
        <v>West</v>
      </c>
      <c r="D55" s="2" t="str">
        <f>Cleaned_Prepared_Data!D55</f>
        <v>High Street</v>
      </c>
      <c r="E55" s="2">
        <f>Cleaned_Prepared_Data!M55</f>
        <v>746677.75</v>
      </c>
      <c r="F55" s="2">
        <f>Cleaned_Prepared_Data!E55</f>
        <v>99874.01</v>
      </c>
      <c r="G55" s="2">
        <f>Cleaned_Prepared_Data!F55</f>
        <v>5887</v>
      </c>
      <c r="H55" s="2">
        <f>Cleaned_Prepared_Data!G55</f>
        <v>0.26200000000000001</v>
      </c>
      <c r="I55" s="2">
        <f>Cleaned_Prepared_Data!H55</f>
        <v>14</v>
      </c>
      <c r="J55" s="2">
        <f>Cleaned_Prepared_Data!I55</f>
        <v>88.7</v>
      </c>
      <c r="K55" s="2">
        <f>Cleaned_Prepared_Data!K55</f>
        <v>0</v>
      </c>
      <c r="L55" s="2">
        <f>Cleaned_Prepared_Data!L55</f>
        <v>4.7</v>
      </c>
      <c r="M55" s="2">
        <f t="shared" si="0"/>
        <v>0</v>
      </c>
      <c r="N55" s="2">
        <f t="shared" si="1"/>
        <v>1</v>
      </c>
      <c r="O55" s="2">
        <f t="shared" si="2"/>
        <v>0</v>
      </c>
    </row>
    <row r="56" spans="1:15" x14ac:dyDescent="0.35">
      <c r="A56" s="2" t="str">
        <f>Cleaned_Prepared_Data!A56</f>
        <v>STR-1014</v>
      </c>
      <c r="B56" s="2" t="str">
        <f>Cleaned_Prepared_Data!P56</f>
        <v>2025-03</v>
      </c>
      <c r="C56" s="2" t="str">
        <f>Cleaned_Prepared_Data!C56</f>
        <v>West</v>
      </c>
      <c r="D56" s="2" t="str">
        <f>Cleaned_Prepared_Data!D56</f>
        <v>High Street</v>
      </c>
      <c r="E56" s="2">
        <f>Cleaned_Prepared_Data!M56</f>
        <v>720852.5</v>
      </c>
      <c r="F56" s="2">
        <f>Cleaned_Prepared_Data!E56</f>
        <v>81195.5</v>
      </c>
      <c r="G56" s="2">
        <f>Cleaned_Prepared_Data!F56</f>
        <v>5516</v>
      </c>
      <c r="H56" s="2">
        <f>Cleaned_Prepared_Data!G56</f>
        <v>0.106</v>
      </c>
      <c r="I56" s="2">
        <f>Cleaned_Prepared_Data!H56</f>
        <v>14</v>
      </c>
      <c r="J56" s="2">
        <f>Cleaned_Prepared_Data!I56</f>
        <v>88</v>
      </c>
      <c r="K56" s="2">
        <f>Cleaned_Prepared_Data!K56</f>
        <v>0</v>
      </c>
      <c r="L56" s="2">
        <f>Cleaned_Prepared_Data!L56</f>
        <v>4.3</v>
      </c>
      <c r="M56" s="2">
        <f t="shared" si="0"/>
        <v>0</v>
      </c>
      <c r="N56" s="2">
        <f t="shared" si="1"/>
        <v>1</v>
      </c>
      <c r="O56" s="2">
        <f t="shared" si="2"/>
        <v>0</v>
      </c>
    </row>
    <row r="57" spans="1:15" x14ac:dyDescent="0.35">
      <c r="A57" s="2" t="str">
        <f>Cleaned_Prepared_Data!A57</f>
        <v>STR-1014</v>
      </c>
      <c r="B57" s="2" t="str">
        <f>Cleaned_Prepared_Data!P57</f>
        <v>2025-04</v>
      </c>
      <c r="C57" s="2" t="str">
        <f>Cleaned_Prepared_Data!C57</f>
        <v>West</v>
      </c>
      <c r="D57" s="2" t="str">
        <f>Cleaned_Prepared_Data!D57</f>
        <v>High Street</v>
      </c>
      <c r="E57" s="2">
        <f>Cleaned_Prepared_Data!M57</f>
        <v>487464.91</v>
      </c>
      <c r="F57" s="2">
        <f>Cleaned_Prepared_Data!E57</f>
        <v>27808.6</v>
      </c>
      <c r="G57" s="2">
        <f>Cleaned_Prepared_Data!F57</f>
        <v>2863</v>
      </c>
      <c r="H57" s="2">
        <f>Cleaned_Prepared_Data!G57</f>
        <v>0.08</v>
      </c>
      <c r="I57" s="2">
        <f>Cleaned_Prepared_Data!H57</f>
        <v>13</v>
      </c>
      <c r="J57" s="2">
        <f>Cleaned_Prepared_Data!I57</f>
        <v>89.3</v>
      </c>
      <c r="K57" s="2">
        <f>Cleaned_Prepared_Data!K57</f>
        <v>0</v>
      </c>
      <c r="L57" s="2">
        <f>Cleaned_Prepared_Data!L57</f>
        <v>4.0999999999999996</v>
      </c>
      <c r="M57" s="2">
        <f t="shared" si="0"/>
        <v>0</v>
      </c>
      <c r="N57" s="2">
        <f t="shared" si="1"/>
        <v>1</v>
      </c>
      <c r="O57" s="2">
        <f t="shared" si="2"/>
        <v>0</v>
      </c>
    </row>
    <row r="58" spans="1:15" x14ac:dyDescent="0.35">
      <c r="A58" s="2" t="str">
        <f>Cleaned_Prepared_Data!A58</f>
        <v>STR-1015</v>
      </c>
      <c r="B58" s="2" t="str">
        <f>Cleaned_Prepared_Data!P58</f>
        <v>2025-01</v>
      </c>
      <c r="C58" s="2" t="str">
        <f>Cleaned_Prepared_Data!C58</f>
        <v>East</v>
      </c>
      <c r="D58" s="2" t="str">
        <f>Cleaned_Prepared_Data!D58</f>
        <v>Airport</v>
      </c>
      <c r="E58" s="2">
        <f>Cleaned_Prepared_Data!M58</f>
        <v>518049.26</v>
      </c>
      <c r="F58" s="2">
        <f>Cleaned_Prepared_Data!E58</f>
        <v>19365.060000000001</v>
      </c>
      <c r="G58" s="2">
        <f>Cleaned_Prepared_Data!F58</f>
        <v>2378</v>
      </c>
      <c r="H58" s="2">
        <f>Cleaned_Prepared_Data!G58</f>
        <v>0</v>
      </c>
      <c r="I58" s="2">
        <f>Cleaned_Prepared_Data!H58</f>
        <v>12</v>
      </c>
      <c r="J58" s="2">
        <f>Cleaned_Prepared_Data!I58</f>
        <v>94.8</v>
      </c>
      <c r="K58" s="2">
        <f>Cleaned_Prepared_Data!K58</f>
        <v>0</v>
      </c>
      <c r="L58" s="2">
        <f>Cleaned_Prepared_Data!L58</f>
        <v>3.5</v>
      </c>
      <c r="M58" s="2">
        <f t="shared" si="0"/>
        <v>1</v>
      </c>
      <c r="N58" s="2">
        <f t="shared" si="1"/>
        <v>0</v>
      </c>
      <c r="O58" s="2">
        <f t="shared" si="2"/>
        <v>0</v>
      </c>
    </row>
    <row r="59" spans="1:15" x14ac:dyDescent="0.35">
      <c r="A59" s="2" t="str">
        <f>Cleaned_Prepared_Data!A59</f>
        <v>STR-1015</v>
      </c>
      <c r="B59" s="2" t="str">
        <f>Cleaned_Prepared_Data!P59</f>
        <v>2025-02</v>
      </c>
      <c r="C59" s="2" t="str">
        <f>Cleaned_Prepared_Data!C59</f>
        <v>East</v>
      </c>
      <c r="D59" s="2" t="str">
        <f>Cleaned_Prepared_Data!D59</f>
        <v>Airport</v>
      </c>
      <c r="E59" s="2">
        <f>Cleaned_Prepared_Data!M59</f>
        <v>500298.48</v>
      </c>
      <c r="F59" s="2">
        <f>Cleaned_Prepared_Data!E59</f>
        <v>59405.68</v>
      </c>
      <c r="G59" s="2">
        <f>Cleaned_Prepared_Data!F59</f>
        <v>2515</v>
      </c>
      <c r="H59" s="2">
        <f>Cleaned_Prepared_Data!G59</f>
        <v>3.9E-2</v>
      </c>
      <c r="I59" s="2">
        <f>Cleaned_Prepared_Data!H59</f>
        <v>12</v>
      </c>
      <c r="J59" s="2">
        <f>Cleaned_Prepared_Data!I59</f>
        <v>76</v>
      </c>
      <c r="K59" s="2">
        <f>Cleaned_Prepared_Data!K59</f>
        <v>0</v>
      </c>
      <c r="L59" s="2">
        <f>Cleaned_Prepared_Data!L59</f>
        <v>3.7</v>
      </c>
      <c r="M59" s="2">
        <f t="shared" si="0"/>
        <v>1</v>
      </c>
      <c r="N59" s="2">
        <f t="shared" si="1"/>
        <v>0</v>
      </c>
      <c r="O59" s="2">
        <f t="shared" si="2"/>
        <v>0</v>
      </c>
    </row>
    <row r="60" spans="1:15" x14ac:dyDescent="0.35">
      <c r="A60" s="2" t="str">
        <f>Cleaned_Prepared_Data!A60</f>
        <v>STR-1015</v>
      </c>
      <c r="B60" s="2" t="str">
        <f>Cleaned_Prepared_Data!P60</f>
        <v>2025-03</v>
      </c>
      <c r="C60" s="2" t="str">
        <f>Cleaned_Prepared_Data!C60</f>
        <v>East</v>
      </c>
      <c r="D60" s="2" t="str">
        <f>Cleaned_Prepared_Data!D60</f>
        <v>Airport</v>
      </c>
      <c r="E60" s="2">
        <f>Cleaned_Prepared_Data!M60</f>
        <v>617291.15</v>
      </c>
      <c r="F60" s="2">
        <f>Cleaned_Prepared_Data!E60</f>
        <v>118910.48</v>
      </c>
      <c r="G60" s="2">
        <f>Cleaned_Prepared_Data!F60</f>
        <v>4022</v>
      </c>
      <c r="H60" s="2">
        <f>Cleaned_Prepared_Data!G60</f>
        <v>0.13700000000000001</v>
      </c>
      <c r="I60" s="2">
        <f>Cleaned_Prepared_Data!H60</f>
        <v>11</v>
      </c>
      <c r="J60" s="2">
        <f>Cleaned_Prepared_Data!I60</f>
        <v>87.1</v>
      </c>
      <c r="K60" s="2">
        <f>Cleaned_Prepared_Data!K60</f>
        <v>0</v>
      </c>
      <c r="L60" s="2">
        <f>Cleaned_Prepared_Data!L60</f>
        <v>3.1</v>
      </c>
      <c r="M60" s="2">
        <f t="shared" si="0"/>
        <v>1</v>
      </c>
      <c r="N60" s="2">
        <f t="shared" si="1"/>
        <v>0</v>
      </c>
      <c r="O60" s="2">
        <f t="shared" si="2"/>
        <v>0</v>
      </c>
    </row>
    <row r="61" spans="1:15" x14ac:dyDescent="0.35">
      <c r="A61" s="2" t="str">
        <f>Cleaned_Prepared_Data!A61</f>
        <v>STR-1015</v>
      </c>
      <c r="B61" s="2" t="str">
        <f>Cleaned_Prepared_Data!P61</f>
        <v>2025-04</v>
      </c>
      <c r="C61" s="2" t="str">
        <f>Cleaned_Prepared_Data!C61</f>
        <v>East</v>
      </c>
      <c r="D61" s="2" t="str">
        <f>Cleaned_Prepared_Data!D61</f>
        <v>Airport</v>
      </c>
      <c r="E61" s="2">
        <f>Cleaned_Prepared_Data!M61</f>
        <v>553756.43000000005</v>
      </c>
      <c r="F61" s="2">
        <f>Cleaned_Prepared_Data!E61</f>
        <v>52952.12</v>
      </c>
      <c r="G61" s="2">
        <f>Cleaned_Prepared_Data!F61</f>
        <v>4377</v>
      </c>
      <c r="H61" s="2">
        <f>Cleaned_Prepared_Data!G61</f>
        <v>9.1999999999999998E-2</v>
      </c>
      <c r="I61" s="2">
        <f>Cleaned_Prepared_Data!H61</f>
        <v>14</v>
      </c>
      <c r="J61" s="2">
        <f>Cleaned_Prepared_Data!I61</f>
        <v>88.6</v>
      </c>
      <c r="K61" s="2">
        <f>Cleaned_Prepared_Data!K61</f>
        <v>0</v>
      </c>
      <c r="L61" s="2">
        <f>Cleaned_Prepared_Data!L61</f>
        <v>3.1</v>
      </c>
      <c r="M61" s="2">
        <f t="shared" si="0"/>
        <v>1</v>
      </c>
      <c r="N61" s="2">
        <f t="shared" si="1"/>
        <v>0</v>
      </c>
      <c r="O61" s="2">
        <f t="shared" si="2"/>
        <v>0</v>
      </c>
    </row>
    <row r="62" spans="1:15" x14ac:dyDescent="0.35">
      <c r="A62" s="2" t="str">
        <f>Cleaned_Prepared_Data!A62</f>
        <v>STR-1016</v>
      </c>
      <c r="B62" s="2" t="str">
        <f>Cleaned_Prepared_Data!P62</f>
        <v>2025-01</v>
      </c>
      <c r="C62" s="2" t="str">
        <f>Cleaned_Prepared_Data!C62</f>
        <v>South</v>
      </c>
      <c r="D62" s="2" t="str">
        <f>Cleaned_Prepared_Data!D62</f>
        <v>High Street</v>
      </c>
      <c r="E62" s="2">
        <f>Cleaned_Prepared_Data!M62</f>
        <v>749559.71</v>
      </c>
      <c r="F62" s="2">
        <f>Cleaned_Prepared_Data!E62</f>
        <v>74907.98</v>
      </c>
      <c r="G62" s="2">
        <f>Cleaned_Prepared_Data!F62</f>
        <v>5306</v>
      </c>
      <c r="H62" s="2">
        <f>Cleaned_Prepared_Data!G62</f>
        <v>6.2E-2</v>
      </c>
      <c r="I62" s="2">
        <f>Cleaned_Prepared_Data!H62</f>
        <v>16</v>
      </c>
      <c r="J62" s="2">
        <f>Cleaned_Prepared_Data!I62</f>
        <v>95.6</v>
      </c>
      <c r="K62" s="2">
        <f>Cleaned_Prepared_Data!K62</f>
        <v>0</v>
      </c>
      <c r="L62" s="2">
        <f>Cleaned_Prepared_Data!L62</f>
        <v>3.7</v>
      </c>
      <c r="M62" s="2">
        <f t="shared" si="0"/>
        <v>0</v>
      </c>
      <c r="N62" s="2">
        <f t="shared" si="1"/>
        <v>1</v>
      </c>
      <c r="O62" s="2">
        <f t="shared" si="2"/>
        <v>0</v>
      </c>
    </row>
    <row r="63" spans="1:15" x14ac:dyDescent="0.35">
      <c r="A63" s="2" t="str">
        <f>Cleaned_Prepared_Data!A63</f>
        <v>STR-1016</v>
      </c>
      <c r="B63" s="2" t="str">
        <f>Cleaned_Prepared_Data!P63</f>
        <v>2025-02</v>
      </c>
      <c r="C63" s="2" t="str">
        <f>Cleaned_Prepared_Data!C63</f>
        <v>South</v>
      </c>
      <c r="D63" s="2" t="str">
        <f>Cleaned_Prepared_Data!D63</f>
        <v>High Street</v>
      </c>
      <c r="E63" s="2">
        <f>Cleaned_Prepared_Data!M63</f>
        <v>615966.48</v>
      </c>
      <c r="F63" s="2">
        <f>Cleaned_Prepared_Data!E63</f>
        <v>37284.660000000003</v>
      </c>
      <c r="G63" s="2">
        <f>Cleaned_Prepared_Data!F63</f>
        <v>3928</v>
      </c>
      <c r="H63" s="2">
        <f>Cleaned_Prepared_Data!G63</f>
        <v>7.3999999999999996E-2</v>
      </c>
      <c r="I63" s="2">
        <f>Cleaned_Prepared_Data!H63</f>
        <v>12</v>
      </c>
      <c r="J63" s="2">
        <f>Cleaned_Prepared_Data!I63</f>
        <v>86.5</v>
      </c>
      <c r="K63" s="2">
        <f>Cleaned_Prepared_Data!K63</f>
        <v>0</v>
      </c>
      <c r="L63" s="2">
        <f>Cleaned_Prepared_Data!L63</f>
        <v>3.8</v>
      </c>
      <c r="M63" s="2">
        <f t="shared" si="0"/>
        <v>0</v>
      </c>
      <c r="N63" s="2">
        <f t="shared" si="1"/>
        <v>1</v>
      </c>
      <c r="O63" s="2">
        <f t="shared" si="2"/>
        <v>0</v>
      </c>
    </row>
    <row r="64" spans="1:15" x14ac:dyDescent="0.35">
      <c r="A64" s="2" t="str">
        <f>Cleaned_Prepared_Data!A64</f>
        <v>STR-1016</v>
      </c>
      <c r="B64" s="2" t="str">
        <f>Cleaned_Prepared_Data!P64</f>
        <v>2025-03</v>
      </c>
      <c r="C64" s="2" t="str">
        <f>Cleaned_Prepared_Data!C64</f>
        <v>South</v>
      </c>
      <c r="D64" s="2" t="str">
        <f>Cleaned_Prepared_Data!D64</f>
        <v>High Street</v>
      </c>
      <c r="E64" s="2">
        <f>Cleaned_Prepared_Data!M64</f>
        <v>572011.19999999995</v>
      </c>
      <c r="F64" s="2">
        <f>Cleaned_Prepared_Data!E64</f>
        <v>50343.19</v>
      </c>
      <c r="G64" s="2">
        <f>Cleaned_Prepared_Data!F64</f>
        <v>3845</v>
      </c>
      <c r="H64" s="2">
        <f>Cleaned_Prepared_Data!G64</f>
        <v>0.113</v>
      </c>
      <c r="I64" s="2">
        <f>Cleaned_Prepared_Data!H64</f>
        <v>9</v>
      </c>
      <c r="J64" s="2">
        <f>Cleaned_Prepared_Data!I64</f>
        <v>88.7</v>
      </c>
      <c r="K64" s="2">
        <f>Cleaned_Prepared_Data!K64</f>
        <v>0</v>
      </c>
      <c r="L64" s="2">
        <f>Cleaned_Prepared_Data!L64</f>
        <v>3.3</v>
      </c>
      <c r="M64" s="2">
        <f t="shared" si="0"/>
        <v>0</v>
      </c>
      <c r="N64" s="2">
        <f t="shared" si="1"/>
        <v>1</v>
      </c>
      <c r="O64" s="2">
        <f t="shared" si="2"/>
        <v>0</v>
      </c>
    </row>
    <row r="65" spans="1:15" x14ac:dyDescent="0.35">
      <c r="A65" s="2" t="str">
        <f>Cleaned_Prepared_Data!A65</f>
        <v>STR-1016</v>
      </c>
      <c r="B65" s="2" t="str">
        <f>Cleaned_Prepared_Data!P65</f>
        <v>2025-04</v>
      </c>
      <c r="C65" s="2" t="str">
        <f>Cleaned_Prepared_Data!C65</f>
        <v>South</v>
      </c>
      <c r="D65" s="2" t="str">
        <f>Cleaned_Prepared_Data!D65</f>
        <v>High Street</v>
      </c>
      <c r="E65" s="2">
        <f>Cleaned_Prepared_Data!M65</f>
        <v>761860.19</v>
      </c>
      <c r="F65" s="2">
        <f>Cleaned_Prepared_Data!E65</f>
        <v>74954.47</v>
      </c>
      <c r="G65" s="2">
        <f>Cleaned_Prepared_Data!F65</f>
        <v>6620</v>
      </c>
      <c r="H65" s="2">
        <f>Cleaned_Prepared_Data!G65</f>
        <v>5.3999999999999999E-2</v>
      </c>
      <c r="I65" s="2">
        <f>Cleaned_Prepared_Data!H65</f>
        <v>17</v>
      </c>
      <c r="J65" s="2">
        <f>Cleaned_Prepared_Data!I65</f>
        <v>91.1</v>
      </c>
      <c r="K65" s="2">
        <f>Cleaned_Prepared_Data!K65</f>
        <v>0</v>
      </c>
      <c r="L65" s="2">
        <f>Cleaned_Prepared_Data!L65</f>
        <v>3.5</v>
      </c>
      <c r="M65" s="2">
        <f t="shared" si="0"/>
        <v>0</v>
      </c>
      <c r="N65" s="2">
        <f t="shared" si="1"/>
        <v>1</v>
      </c>
      <c r="O65" s="2">
        <f t="shared" si="2"/>
        <v>0</v>
      </c>
    </row>
    <row r="66" spans="1:15" x14ac:dyDescent="0.35">
      <c r="A66" s="2" t="str">
        <f>Cleaned_Prepared_Data!A66</f>
        <v>STR-1017</v>
      </c>
      <c r="B66" s="2" t="str">
        <f>Cleaned_Prepared_Data!P66</f>
        <v>2025-01</v>
      </c>
      <c r="C66" s="2" t="str">
        <f>Cleaned_Prepared_Data!C66</f>
        <v>West</v>
      </c>
      <c r="D66" s="2" t="str">
        <f>Cleaned_Prepared_Data!D66</f>
        <v>High Street</v>
      </c>
      <c r="E66" s="2">
        <f>Cleaned_Prepared_Data!M66</f>
        <v>784502.68</v>
      </c>
      <c r="F66" s="2">
        <f>Cleaned_Prepared_Data!E66</f>
        <v>70040.31</v>
      </c>
      <c r="G66" s="2">
        <f>Cleaned_Prepared_Data!F66</f>
        <v>9175</v>
      </c>
      <c r="H66" s="2">
        <f>Cleaned_Prepared_Data!G66</f>
        <v>0.107</v>
      </c>
      <c r="I66" s="2">
        <f>Cleaned_Prepared_Data!H66</f>
        <v>23</v>
      </c>
      <c r="J66" s="2">
        <f>Cleaned_Prepared_Data!I66</f>
        <v>95.1</v>
      </c>
      <c r="K66" s="2">
        <f>Cleaned_Prepared_Data!K66</f>
        <v>1</v>
      </c>
      <c r="L66" s="2">
        <f>Cleaned_Prepared_Data!L66</f>
        <v>3.4</v>
      </c>
      <c r="M66" s="2">
        <f t="shared" ref="M66:M129" si="3">IF($D66="Airport",1,0)</f>
        <v>0</v>
      </c>
      <c r="N66" s="2">
        <f t="shared" ref="N66:N129" si="4">IF($D66="High Street",1,0)</f>
        <v>1</v>
      </c>
      <c r="O66" s="2">
        <f t="shared" ref="O66:O129" si="5">IF($D66="Mall",1,0)</f>
        <v>0</v>
      </c>
    </row>
    <row r="67" spans="1:15" x14ac:dyDescent="0.35">
      <c r="A67" s="2" t="str">
        <f>Cleaned_Prepared_Data!A67</f>
        <v>STR-1017</v>
      </c>
      <c r="B67" s="2" t="str">
        <f>Cleaned_Prepared_Data!P67</f>
        <v>2025-02</v>
      </c>
      <c r="C67" s="2" t="str">
        <f>Cleaned_Prepared_Data!C67</f>
        <v>West</v>
      </c>
      <c r="D67" s="2" t="str">
        <f>Cleaned_Prepared_Data!D67</f>
        <v>High Street</v>
      </c>
      <c r="E67" s="2">
        <f>Cleaned_Prepared_Data!M67</f>
        <v>717141.55</v>
      </c>
      <c r="F67" s="2">
        <f>Cleaned_Prepared_Data!E67</f>
        <v>51148.69</v>
      </c>
      <c r="G67" s="2">
        <f>Cleaned_Prepared_Data!F67</f>
        <v>7940</v>
      </c>
      <c r="H67" s="2">
        <f>Cleaned_Prepared_Data!G67</f>
        <v>0.156</v>
      </c>
      <c r="I67" s="2">
        <f>Cleaned_Prepared_Data!H67</f>
        <v>18</v>
      </c>
      <c r="J67" s="2">
        <f>Cleaned_Prepared_Data!I67</f>
        <v>93.3</v>
      </c>
      <c r="K67" s="2">
        <f>Cleaned_Prepared_Data!K67</f>
        <v>0</v>
      </c>
      <c r="L67" s="2">
        <f>Cleaned_Prepared_Data!L67</f>
        <v>3.6</v>
      </c>
      <c r="M67" s="2">
        <f t="shared" si="3"/>
        <v>0</v>
      </c>
      <c r="N67" s="2">
        <f t="shared" si="4"/>
        <v>1</v>
      </c>
      <c r="O67" s="2">
        <f t="shared" si="5"/>
        <v>0</v>
      </c>
    </row>
    <row r="68" spans="1:15" x14ac:dyDescent="0.35">
      <c r="A68" s="2" t="str">
        <f>Cleaned_Prepared_Data!A68</f>
        <v>STR-1017</v>
      </c>
      <c r="B68" s="2" t="str">
        <f>Cleaned_Prepared_Data!P68</f>
        <v>2025-03</v>
      </c>
      <c r="C68" s="2" t="str">
        <f>Cleaned_Prepared_Data!C68</f>
        <v>West</v>
      </c>
      <c r="D68" s="2" t="str">
        <f>Cleaned_Prepared_Data!D68</f>
        <v>High Street</v>
      </c>
      <c r="E68" s="2">
        <f>Cleaned_Prepared_Data!M68</f>
        <v>685379.08</v>
      </c>
      <c r="F68" s="2">
        <f>Cleaned_Prepared_Data!E68</f>
        <v>79346.100000000006</v>
      </c>
      <c r="G68" s="2">
        <f>Cleaned_Prepared_Data!F68</f>
        <v>9628</v>
      </c>
      <c r="H68" s="2">
        <f>Cleaned_Prepared_Data!G68</f>
        <v>0.10199999999999999</v>
      </c>
      <c r="I68" s="2">
        <f>Cleaned_Prepared_Data!H68</f>
        <v>20</v>
      </c>
      <c r="J68" s="2">
        <f>Cleaned_Prepared_Data!I68</f>
        <v>99</v>
      </c>
      <c r="K68" s="2">
        <f>Cleaned_Prepared_Data!K68</f>
        <v>1</v>
      </c>
      <c r="L68" s="2">
        <f>Cleaned_Prepared_Data!L68</f>
        <v>3.2</v>
      </c>
      <c r="M68" s="2">
        <f t="shared" si="3"/>
        <v>0</v>
      </c>
      <c r="N68" s="2">
        <f t="shared" si="4"/>
        <v>1</v>
      </c>
      <c r="O68" s="2">
        <f t="shared" si="5"/>
        <v>0</v>
      </c>
    </row>
    <row r="69" spans="1:15" x14ac:dyDescent="0.35">
      <c r="A69" s="2" t="str">
        <f>Cleaned_Prepared_Data!A69</f>
        <v>STR-1017</v>
      </c>
      <c r="B69" s="2" t="str">
        <f>Cleaned_Prepared_Data!P69</f>
        <v>2025-04</v>
      </c>
      <c r="C69" s="2" t="str">
        <f>Cleaned_Prepared_Data!C69</f>
        <v>West</v>
      </c>
      <c r="D69" s="2" t="str">
        <f>Cleaned_Prepared_Data!D69</f>
        <v>High Street</v>
      </c>
      <c r="E69" s="2">
        <f>Cleaned_Prepared_Data!M69</f>
        <v>740496.65</v>
      </c>
      <c r="F69" s="2">
        <f>Cleaned_Prepared_Data!E69</f>
        <v>42018.400000000001</v>
      </c>
      <c r="G69" s="2">
        <f>Cleaned_Prepared_Data!F69</f>
        <v>8296</v>
      </c>
      <c r="H69" s="2">
        <f>Cleaned_Prepared_Data!G69</f>
        <v>0.115</v>
      </c>
      <c r="I69" s="2">
        <f>Cleaned_Prepared_Data!H69</f>
        <v>17</v>
      </c>
      <c r="J69" s="2">
        <f>Cleaned_Prepared_Data!I69</f>
        <v>91.8</v>
      </c>
      <c r="K69" s="2">
        <f>Cleaned_Prepared_Data!K69</f>
        <v>0</v>
      </c>
      <c r="L69" s="2">
        <f>Cleaned_Prepared_Data!L69</f>
        <v>3.4</v>
      </c>
      <c r="M69" s="2">
        <f t="shared" si="3"/>
        <v>0</v>
      </c>
      <c r="N69" s="2">
        <f t="shared" si="4"/>
        <v>1</v>
      </c>
      <c r="O69" s="2">
        <f t="shared" si="5"/>
        <v>0</v>
      </c>
    </row>
    <row r="70" spans="1:15" x14ac:dyDescent="0.35">
      <c r="A70" s="2" t="str">
        <f>Cleaned_Prepared_Data!A70</f>
        <v>STR-1018</v>
      </c>
      <c r="B70" s="2" t="str">
        <f>Cleaned_Prepared_Data!P70</f>
        <v>2025-01</v>
      </c>
      <c r="C70" s="2" t="str">
        <f>Cleaned_Prepared_Data!C70</f>
        <v>East</v>
      </c>
      <c r="D70" s="2" t="str">
        <f>Cleaned_Prepared_Data!D70</f>
        <v>High Street</v>
      </c>
      <c r="E70" s="2">
        <f>Cleaned_Prepared_Data!M70</f>
        <v>661927.14</v>
      </c>
      <c r="F70" s="2">
        <f>Cleaned_Prepared_Data!E70</f>
        <v>70937.240000000005</v>
      </c>
      <c r="G70" s="2">
        <f>Cleaned_Prepared_Data!F70</f>
        <v>3595</v>
      </c>
      <c r="H70" s="2">
        <f>Cleaned_Prepared_Data!G70</f>
        <v>0.14099999999999999</v>
      </c>
      <c r="I70" s="2">
        <f>Cleaned_Prepared_Data!H70</f>
        <v>11</v>
      </c>
      <c r="J70" s="2">
        <f>Cleaned_Prepared_Data!I70</f>
        <v>88.9</v>
      </c>
      <c r="K70" s="2">
        <f>Cleaned_Prepared_Data!K70</f>
        <v>1</v>
      </c>
      <c r="L70" s="2">
        <f>Cleaned_Prepared_Data!L70</f>
        <v>3.3</v>
      </c>
      <c r="M70" s="2">
        <f t="shared" si="3"/>
        <v>0</v>
      </c>
      <c r="N70" s="2">
        <f t="shared" si="4"/>
        <v>1</v>
      </c>
      <c r="O70" s="2">
        <f t="shared" si="5"/>
        <v>0</v>
      </c>
    </row>
    <row r="71" spans="1:15" x14ac:dyDescent="0.35">
      <c r="A71" s="2" t="str">
        <f>Cleaned_Prepared_Data!A71</f>
        <v>STR-1018</v>
      </c>
      <c r="B71" s="2" t="str">
        <f>Cleaned_Prepared_Data!P71</f>
        <v>2025-02</v>
      </c>
      <c r="C71" s="2" t="str">
        <f>Cleaned_Prepared_Data!C71</f>
        <v>East</v>
      </c>
      <c r="D71" s="2" t="str">
        <f>Cleaned_Prepared_Data!D71</f>
        <v>High Street</v>
      </c>
      <c r="E71" s="2">
        <f>Cleaned_Prepared_Data!M71</f>
        <v>479050.5</v>
      </c>
      <c r="F71" s="2">
        <f>Cleaned_Prepared_Data!E71</f>
        <v>36813.449999999997</v>
      </c>
      <c r="G71" s="2">
        <f>Cleaned_Prepared_Data!F71</f>
        <v>2834</v>
      </c>
      <c r="H71" s="2">
        <f>Cleaned_Prepared_Data!G71</f>
        <v>0.191</v>
      </c>
      <c r="I71" s="2">
        <f>Cleaned_Prepared_Data!H71</f>
        <v>11</v>
      </c>
      <c r="J71" s="2">
        <f>Cleaned_Prepared_Data!I71</f>
        <v>81.8</v>
      </c>
      <c r="K71" s="2">
        <f>Cleaned_Prepared_Data!K71</f>
        <v>0</v>
      </c>
      <c r="L71" s="2">
        <f>Cleaned_Prepared_Data!L71</f>
        <v>3.3</v>
      </c>
      <c r="M71" s="2">
        <f t="shared" si="3"/>
        <v>0</v>
      </c>
      <c r="N71" s="2">
        <f t="shared" si="4"/>
        <v>1</v>
      </c>
      <c r="O71" s="2">
        <f t="shared" si="5"/>
        <v>0</v>
      </c>
    </row>
    <row r="72" spans="1:15" x14ac:dyDescent="0.35">
      <c r="A72" s="2" t="str">
        <f>Cleaned_Prepared_Data!A72</f>
        <v>STR-1018</v>
      </c>
      <c r="B72" s="2" t="str">
        <f>Cleaned_Prepared_Data!P72</f>
        <v>2025-03</v>
      </c>
      <c r="C72" s="2" t="str">
        <f>Cleaned_Prepared_Data!C72</f>
        <v>East</v>
      </c>
      <c r="D72" s="2" t="str">
        <f>Cleaned_Prepared_Data!D72</f>
        <v>High Street</v>
      </c>
      <c r="E72" s="2">
        <f>Cleaned_Prepared_Data!M72</f>
        <v>605023.87</v>
      </c>
      <c r="F72" s="2">
        <f>Cleaned_Prepared_Data!E72</f>
        <v>60571.82</v>
      </c>
      <c r="G72" s="2">
        <f>Cleaned_Prepared_Data!F72</f>
        <v>3193</v>
      </c>
      <c r="H72" s="2">
        <f>Cleaned_Prepared_Data!G72</f>
        <v>0.19700000000000001</v>
      </c>
      <c r="I72" s="2">
        <f>Cleaned_Prepared_Data!H72</f>
        <v>7</v>
      </c>
      <c r="J72" s="2">
        <f>Cleaned_Prepared_Data!I72</f>
        <v>99</v>
      </c>
      <c r="K72" s="2">
        <f>Cleaned_Prepared_Data!K72</f>
        <v>0</v>
      </c>
      <c r="L72" s="2">
        <f>Cleaned_Prepared_Data!L72</f>
        <v>3.2</v>
      </c>
      <c r="M72" s="2">
        <f t="shared" si="3"/>
        <v>0</v>
      </c>
      <c r="N72" s="2">
        <f t="shared" si="4"/>
        <v>1</v>
      </c>
      <c r="O72" s="2">
        <f t="shared" si="5"/>
        <v>0</v>
      </c>
    </row>
    <row r="73" spans="1:15" x14ac:dyDescent="0.35">
      <c r="A73" s="2" t="str">
        <f>Cleaned_Prepared_Data!A73</f>
        <v>STR-1018</v>
      </c>
      <c r="B73" s="2" t="str">
        <f>Cleaned_Prepared_Data!P73</f>
        <v>2025-04</v>
      </c>
      <c r="C73" s="2" t="str">
        <f>Cleaned_Prepared_Data!C73</f>
        <v>East</v>
      </c>
      <c r="D73" s="2" t="str">
        <f>Cleaned_Prepared_Data!D73</f>
        <v>High Street</v>
      </c>
      <c r="E73" s="2">
        <f>Cleaned_Prepared_Data!M73</f>
        <v>674774.09</v>
      </c>
      <c r="F73" s="2">
        <f>Cleaned_Prepared_Data!E73</f>
        <v>55081.16</v>
      </c>
      <c r="G73" s="2">
        <f>Cleaned_Prepared_Data!F73</f>
        <v>5485</v>
      </c>
      <c r="H73" s="2">
        <f>Cleaned_Prepared_Data!G73</f>
        <v>3.5999999999999997E-2</v>
      </c>
      <c r="I73" s="2">
        <f>Cleaned_Prepared_Data!H73</f>
        <v>12</v>
      </c>
      <c r="J73" s="2">
        <f>Cleaned_Prepared_Data!I73</f>
        <v>88</v>
      </c>
      <c r="K73" s="2">
        <f>Cleaned_Prepared_Data!K73</f>
        <v>0</v>
      </c>
      <c r="L73" s="2">
        <f>Cleaned_Prepared_Data!L73</f>
        <v>3.5</v>
      </c>
      <c r="M73" s="2">
        <f t="shared" si="3"/>
        <v>0</v>
      </c>
      <c r="N73" s="2">
        <f t="shared" si="4"/>
        <v>1</v>
      </c>
      <c r="O73" s="2">
        <f t="shared" si="5"/>
        <v>0</v>
      </c>
    </row>
    <row r="74" spans="1:15" x14ac:dyDescent="0.35">
      <c r="A74" s="2" t="str">
        <f>Cleaned_Prepared_Data!A74</f>
        <v>STR-1019</v>
      </c>
      <c r="B74" s="2" t="str">
        <f>Cleaned_Prepared_Data!P74</f>
        <v>2025-01</v>
      </c>
      <c r="C74" s="2" t="str">
        <f>Cleaned_Prepared_Data!C74</f>
        <v>East</v>
      </c>
      <c r="D74" s="2" t="str">
        <f>Cleaned_Prepared_Data!D74</f>
        <v>Residential</v>
      </c>
      <c r="E74" s="2">
        <f>Cleaned_Prepared_Data!M74</f>
        <v>616069.41</v>
      </c>
      <c r="F74" s="2">
        <f>Cleaned_Prepared_Data!E74</f>
        <v>46201.46</v>
      </c>
      <c r="G74" s="2">
        <f>Cleaned_Prepared_Data!F74</f>
        <v>5918</v>
      </c>
      <c r="H74" s="2">
        <f>Cleaned_Prepared_Data!G74</f>
        <v>0.27700000000000002</v>
      </c>
      <c r="I74" s="2">
        <f>Cleaned_Prepared_Data!H74</f>
        <v>13</v>
      </c>
      <c r="J74" s="2">
        <f>Cleaned_Prepared_Data!I74</f>
        <v>78.8</v>
      </c>
      <c r="K74" s="2">
        <f>Cleaned_Prepared_Data!K74</f>
        <v>0</v>
      </c>
      <c r="L74" s="2">
        <f>Cleaned_Prepared_Data!L74</f>
        <v>4.5</v>
      </c>
      <c r="M74" s="2">
        <f t="shared" si="3"/>
        <v>0</v>
      </c>
      <c r="N74" s="2">
        <f t="shared" si="4"/>
        <v>0</v>
      </c>
      <c r="O74" s="2">
        <f t="shared" si="5"/>
        <v>0</v>
      </c>
    </row>
    <row r="75" spans="1:15" x14ac:dyDescent="0.35">
      <c r="A75" s="2" t="str">
        <f>Cleaned_Prepared_Data!A75</f>
        <v>STR-1019</v>
      </c>
      <c r="B75" s="2" t="str">
        <f>Cleaned_Prepared_Data!P75</f>
        <v>2025-02</v>
      </c>
      <c r="C75" s="2" t="str">
        <f>Cleaned_Prepared_Data!C75</f>
        <v>East</v>
      </c>
      <c r="D75" s="2" t="str">
        <f>Cleaned_Prepared_Data!D75</f>
        <v>Residential</v>
      </c>
      <c r="E75" s="2">
        <f>Cleaned_Prepared_Data!M75</f>
        <v>630829.93999999994</v>
      </c>
      <c r="F75" s="2">
        <f>Cleaned_Prepared_Data!E75</f>
        <v>53762.92</v>
      </c>
      <c r="G75" s="2">
        <f>Cleaned_Prepared_Data!F75</f>
        <v>6821</v>
      </c>
      <c r="H75" s="2">
        <f>Cleaned_Prepared_Data!G75</f>
        <v>6.6000000000000003E-2</v>
      </c>
      <c r="I75" s="2">
        <f>Cleaned_Prepared_Data!H75</f>
        <v>19</v>
      </c>
      <c r="J75" s="2">
        <f>Cleaned_Prepared_Data!I75</f>
        <v>94.6</v>
      </c>
      <c r="K75" s="2">
        <f>Cleaned_Prepared_Data!K75</f>
        <v>0</v>
      </c>
      <c r="L75" s="2">
        <f>Cleaned_Prepared_Data!L75</f>
        <v>4.4000000000000004</v>
      </c>
      <c r="M75" s="2">
        <f t="shared" si="3"/>
        <v>0</v>
      </c>
      <c r="N75" s="2">
        <f t="shared" si="4"/>
        <v>0</v>
      </c>
      <c r="O75" s="2">
        <f t="shared" si="5"/>
        <v>0</v>
      </c>
    </row>
    <row r="76" spans="1:15" x14ac:dyDescent="0.35">
      <c r="A76" s="2" t="str">
        <f>Cleaned_Prepared_Data!A76</f>
        <v>STR-1019</v>
      </c>
      <c r="B76" s="2" t="str">
        <f>Cleaned_Prepared_Data!P76</f>
        <v>2025-03</v>
      </c>
      <c r="C76" s="2" t="str">
        <f>Cleaned_Prepared_Data!C76</f>
        <v>East</v>
      </c>
      <c r="D76" s="2" t="str">
        <f>Cleaned_Prepared_Data!D76</f>
        <v>Residential</v>
      </c>
      <c r="E76" s="2">
        <f>Cleaned_Prepared_Data!M76</f>
        <v>788087.68</v>
      </c>
      <c r="F76" s="2">
        <f>Cleaned_Prepared_Data!E76</f>
        <v>70144.78</v>
      </c>
      <c r="G76" s="2">
        <f>Cleaned_Prepared_Data!F76</f>
        <v>6806</v>
      </c>
      <c r="H76" s="2">
        <f>Cleaned_Prepared_Data!G76</f>
        <v>0.17799999999999999</v>
      </c>
      <c r="I76" s="2">
        <f>Cleaned_Prepared_Data!H76</f>
        <v>20</v>
      </c>
      <c r="J76" s="2">
        <f>Cleaned_Prepared_Data!I76</f>
        <v>93.1</v>
      </c>
      <c r="K76" s="2">
        <f>Cleaned_Prepared_Data!K76</f>
        <v>1</v>
      </c>
      <c r="L76" s="2">
        <f>Cleaned_Prepared_Data!L76</f>
        <v>4.3</v>
      </c>
      <c r="M76" s="2">
        <f t="shared" si="3"/>
        <v>0</v>
      </c>
      <c r="N76" s="2">
        <f t="shared" si="4"/>
        <v>0</v>
      </c>
      <c r="O76" s="2">
        <f t="shared" si="5"/>
        <v>0</v>
      </c>
    </row>
    <row r="77" spans="1:15" x14ac:dyDescent="0.35">
      <c r="A77" s="2" t="str">
        <f>Cleaned_Prepared_Data!A77</f>
        <v>STR-1019</v>
      </c>
      <c r="B77" s="2" t="str">
        <f>Cleaned_Prepared_Data!P77</f>
        <v>2025-04</v>
      </c>
      <c r="C77" s="2" t="str">
        <f>Cleaned_Prepared_Data!C77</f>
        <v>East</v>
      </c>
      <c r="D77" s="2" t="str">
        <f>Cleaned_Prepared_Data!D77</f>
        <v>Residential</v>
      </c>
      <c r="E77" s="2">
        <f>Cleaned_Prepared_Data!M77</f>
        <v>680840.36</v>
      </c>
      <c r="F77" s="2">
        <f>Cleaned_Prepared_Data!E77</f>
        <v>58749.63</v>
      </c>
      <c r="G77" s="2">
        <f>Cleaned_Prepared_Data!F77</f>
        <v>8252</v>
      </c>
      <c r="H77" s="2">
        <f>Cleaned_Prepared_Data!G77</f>
        <v>0.20300000000000001</v>
      </c>
      <c r="I77" s="2">
        <f>Cleaned_Prepared_Data!H77</f>
        <v>20</v>
      </c>
      <c r="J77" s="2">
        <f>Cleaned_Prepared_Data!I77</f>
        <v>85.2</v>
      </c>
      <c r="K77" s="2">
        <f>Cleaned_Prepared_Data!K77</f>
        <v>0</v>
      </c>
      <c r="L77" s="2">
        <f>Cleaned_Prepared_Data!L77</f>
        <v>4.5</v>
      </c>
      <c r="M77" s="2">
        <f t="shared" si="3"/>
        <v>0</v>
      </c>
      <c r="N77" s="2">
        <f t="shared" si="4"/>
        <v>0</v>
      </c>
      <c r="O77" s="2">
        <f t="shared" si="5"/>
        <v>0</v>
      </c>
    </row>
    <row r="78" spans="1:15" x14ac:dyDescent="0.35">
      <c r="A78" s="2" t="str">
        <f>Cleaned_Prepared_Data!A78</f>
        <v>STR-1020</v>
      </c>
      <c r="B78" s="2" t="str">
        <f>Cleaned_Prepared_Data!P78</f>
        <v>2025-01</v>
      </c>
      <c r="C78" s="2" t="str">
        <f>Cleaned_Prepared_Data!C78</f>
        <v>South</v>
      </c>
      <c r="D78" s="2" t="str">
        <f>Cleaned_Prepared_Data!D78</f>
        <v>High Street</v>
      </c>
      <c r="E78" s="2">
        <f>Cleaned_Prepared_Data!M78</f>
        <v>643657.47</v>
      </c>
      <c r="F78" s="2">
        <f>Cleaned_Prepared_Data!E78</f>
        <v>56973.18</v>
      </c>
      <c r="G78" s="2">
        <f>Cleaned_Prepared_Data!F78</f>
        <v>6662</v>
      </c>
      <c r="H78" s="2">
        <f>Cleaned_Prepared_Data!G78</f>
        <v>0.1</v>
      </c>
      <c r="I78" s="2">
        <f>Cleaned_Prepared_Data!H78</f>
        <v>15</v>
      </c>
      <c r="J78" s="2">
        <f>Cleaned_Prepared_Data!I78</f>
        <v>77.7</v>
      </c>
      <c r="K78" s="2">
        <f>Cleaned_Prepared_Data!K78</f>
        <v>1</v>
      </c>
      <c r="L78" s="2">
        <f>Cleaned_Prepared_Data!L78</f>
        <v>3.2</v>
      </c>
      <c r="M78" s="2">
        <f t="shared" si="3"/>
        <v>0</v>
      </c>
      <c r="N78" s="2">
        <f t="shared" si="4"/>
        <v>1</v>
      </c>
      <c r="O78" s="2">
        <f t="shared" si="5"/>
        <v>0</v>
      </c>
    </row>
    <row r="79" spans="1:15" x14ac:dyDescent="0.35">
      <c r="A79" s="2" t="str">
        <f>Cleaned_Prepared_Data!A79</f>
        <v>STR-1020</v>
      </c>
      <c r="B79" s="2" t="str">
        <f>Cleaned_Prepared_Data!P79</f>
        <v>2025-02</v>
      </c>
      <c r="C79" s="2" t="str">
        <f>Cleaned_Prepared_Data!C79</f>
        <v>South</v>
      </c>
      <c r="D79" s="2" t="str">
        <f>Cleaned_Prepared_Data!D79</f>
        <v>High Street</v>
      </c>
      <c r="E79" s="2">
        <f>Cleaned_Prepared_Data!M79</f>
        <v>691112.6</v>
      </c>
      <c r="F79" s="2">
        <f>Cleaned_Prepared_Data!E79</f>
        <v>54872.82</v>
      </c>
      <c r="G79" s="2">
        <f>Cleaned_Prepared_Data!F79</f>
        <v>5962</v>
      </c>
      <c r="H79" s="2">
        <f>Cleaned_Prepared_Data!G79</f>
        <v>6.4000000000000001E-2</v>
      </c>
      <c r="I79" s="2">
        <f>Cleaned_Prepared_Data!H79</f>
        <v>12</v>
      </c>
      <c r="J79" s="2">
        <f>Cleaned_Prepared_Data!I79</f>
        <v>85.4</v>
      </c>
      <c r="K79" s="2">
        <f>Cleaned_Prepared_Data!K79</f>
        <v>0</v>
      </c>
      <c r="L79" s="2">
        <f>Cleaned_Prepared_Data!L79</f>
        <v>2.9</v>
      </c>
      <c r="M79" s="2">
        <f t="shared" si="3"/>
        <v>0</v>
      </c>
      <c r="N79" s="2">
        <f t="shared" si="4"/>
        <v>1</v>
      </c>
      <c r="O79" s="2">
        <f t="shared" si="5"/>
        <v>0</v>
      </c>
    </row>
    <row r="80" spans="1:15" x14ac:dyDescent="0.35">
      <c r="A80" s="2" t="str">
        <f>Cleaned_Prepared_Data!A80</f>
        <v>STR-1020</v>
      </c>
      <c r="B80" s="2" t="str">
        <f>Cleaned_Prepared_Data!P80</f>
        <v>2025-03</v>
      </c>
      <c r="C80" s="2" t="str">
        <f>Cleaned_Prepared_Data!C80</f>
        <v>South</v>
      </c>
      <c r="D80" s="2" t="str">
        <f>Cleaned_Prepared_Data!D80</f>
        <v>High Street</v>
      </c>
      <c r="E80" s="2">
        <f>Cleaned_Prepared_Data!M80</f>
        <v>776922.17</v>
      </c>
      <c r="F80" s="2">
        <f>Cleaned_Prepared_Data!E80</f>
        <v>80562.81</v>
      </c>
      <c r="G80" s="2">
        <f>Cleaned_Prepared_Data!F80</f>
        <v>7470</v>
      </c>
      <c r="H80" s="2">
        <f>Cleaned_Prepared_Data!G80</f>
        <v>0.17199999999999999</v>
      </c>
      <c r="I80" s="2">
        <f>Cleaned_Prepared_Data!H80</f>
        <v>16</v>
      </c>
      <c r="J80" s="2">
        <f>Cleaned_Prepared_Data!I80</f>
        <v>83.5</v>
      </c>
      <c r="K80" s="2">
        <f>Cleaned_Prepared_Data!K80</f>
        <v>0</v>
      </c>
      <c r="L80" s="2">
        <f>Cleaned_Prepared_Data!L80</f>
        <v>3.3</v>
      </c>
      <c r="M80" s="2">
        <f t="shared" si="3"/>
        <v>0</v>
      </c>
      <c r="N80" s="2">
        <f t="shared" si="4"/>
        <v>1</v>
      </c>
      <c r="O80" s="2">
        <f t="shared" si="5"/>
        <v>0</v>
      </c>
    </row>
    <row r="81" spans="1:15" x14ac:dyDescent="0.35">
      <c r="A81" s="2" t="str">
        <f>Cleaned_Prepared_Data!A81</f>
        <v>STR-1020</v>
      </c>
      <c r="B81" s="2" t="str">
        <f>Cleaned_Prepared_Data!P81</f>
        <v>2025-04</v>
      </c>
      <c r="C81" s="2" t="str">
        <f>Cleaned_Prepared_Data!C81</f>
        <v>South</v>
      </c>
      <c r="D81" s="2" t="str">
        <f>Cleaned_Prepared_Data!D81</f>
        <v>High Street</v>
      </c>
      <c r="E81" s="2">
        <f>Cleaned_Prepared_Data!M81</f>
        <v>636561.34</v>
      </c>
      <c r="F81" s="2">
        <f>Cleaned_Prepared_Data!E81</f>
        <v>77999.899999999994</v>
      </c>
      <c r="G81" s="2">
        <f>Cleaned_Prepared_Data!F81</f>
        <v>5974</v>
      </c>
      <c r="H81" s="2">
        <f>Cleaned_Prepared_Data!G81</f>
        <v>0.252</v>
      </c>
      <c r="I81" s="2">
        <f>Cleaned_Prepared_Data!H81</f>
        <v>14</v>
      </c>
      <c r="J81" s="2">
        <f>Cleaned_Prepared_Data!I81</f>
        <v>81.3</v>
      </c>
      <c r="K81" s="2">
        <f>Cleaned_Prepared_Data!K81</f>
        <v>0</v>
      </c>
      <c r="L81" s="2">
        <f>Cleaned_Prepared_Data!L81</f>
        <v>3.2</v>
      </c>
      <c r="M81" s="2">
        <f t="shared" si="3"/>
        <v>0</v>
      </c>
      <c r="N81" s="2">
        <f t="shared" si="4"/>
        <v>1</v>
      </c>
      <c r="O81" s="2">
        <f t="shared" si="5"/>
        <v>0</v>
      </c>
    </row>
    <row r="82" spans="1:15" x14ac:dyDescent="0.35">
      <c r="A82" s="2" t="str">
        <f>Cleaned_Prepared_Data!A82</f>
        <v>STR-1021</v>
      </c>
      <c r="B82" s="2" t="str">
        <f>Cleaned_Prepared_Data!P82</f>
        <v>2025-01</v>
      </c>
      <c r="C82" s="2" t="str">
        <f>Cleaned_Prepared_Data!C82</f>
        <v>West</v>
      </c>
      <c r="D82" s="2" t="str">
        <f>Cleaned_Prepared_Data!D82</f>
        <v>Mall</v>
      </c>
      <c r="E82" s="2">
        <f>Cleaned_Prepared_Data!M82</f>
        <v>621369.57999999996</v>
      </c>
      <c r="F82" s="2">
        <f>Cleaned_Prepared_Data!E82</f>
        <v>60881.01</v>
      </c>
      <c r="G82" s="2">
        <f>Cleaned_Prepared_Data!F82</f>
        <v>5410</v>
      </c>
      <c r="H82" s="2">
        <f>Cleaned_Prepared_Data!G82</f>
        <v>0.17899999999999999</v>
      </c>
      <c r="I82" s="2">
        <f>Cleaned_Prepared_Data!H82</f>
        <v>15</v>
      </c>
      <c r="J82" s="2">
        <f>Cleaned_Prepared_Data!I82</f>
        <v>83.9</v>
      </c>
      <c r="K82" s="2">
        <f>Cleaned_Prepared_Data!K82</f>
        <v>0</v>
      </c>
      <c r="L82" s="2">
        <f>Cleaned_Prepared_Data!L82</f>
        <v>4.5999999999999996</v>
      </c>
      <c r="M82" s="2">
        <f t="shared" si="3"/>
        <v>0</v>
      </c>
      <c r="N82" s="2">
        <f t="shared" si="4"/>
        <v>0</v>
      </c>
      <c r="O82" s="2">
        <f t="shared" si="5"/>
        <v>1</v>
      </c>
    </row>
    <row r="83" spans="1:15" x14ac:dyDescent="0.35">
      <c r="A83" s="2" t="str">
        <f>Cleaned_Prepared_Data!A83</f>
        <v>STR-1021</v>
      </c>
      <c r="B83" s="2" t="str">
        <f>Cleaned_Prepared_Data!P83</f>
        <v>2025-02</v>
      </c>
      <c r="C83" s="2" t="str">
        <f>Cleaned_Prepared_Data!C83</f>
        <v>West</v>
      </c>
      <c r="D83" s="2" t="str">
        <f>Cleaned_Prepared_Data!D83</f>
        <v>Mall</v>
      </c>
      <c r="E83" s="2">
        <f>Cleaned_Prepared_Data!M83</f>
        <v>682208.01</v>
      </c>
      <c r="F83" s="2">
        <f>Cleaned_Prepared_Data!E83</f>
        <v>60628.38</v>
      </c>
      <c r="G83" s="2">
        <f>Cleaned_Prepared_Data!F83</f>
        <v>4451</v>
      </c>
      <c r="H83" s="2">
        <f>Cleaned_Prepared_Data!G83</f>
        <v>9.5000000000000001E-2</v>
      </c>
      <c r="I83" s="2">
        <f>Cleaned_Prepared_Data!H83</f>
        <v>10</v>
      </c>
      <c r="J83" s="2">
        <f>Cleaned_Prepared_Data!I83</f>
        <v>89.6</v>
      </c>
      <c r="K83" s="2">
        <f>Cleaned_Prepared_Data!K83</f>
        <v>0</v>
      </c>
      <c r="L83" s="2">
        <f>Cleaned_Prepared_Data!L83</f>
        <v>4.5999999999999996</v>
      </c>
      <c r="M83" s="2">
        <f t="shared" si="3"/>
        <v>0</v>
      </c>
      <c r="N83" s="2">
        <f t="shared" si="4"/>
        <v>0</v>
      </c>
      <c r="O83" s="2">
        <f t="shared" si="5"/>
        <v>1</v>
      </c>
    </row>
    <row r="84" spans="1:15" x14ac:dyDescent="0.35">
      <c r="A84" s="2" t="str">
        <f>Cleaned_Prepared_Data!A84</f>
        <v>STR-1021</v>
      </c>
      <c r="B84" s="2" t="str">
        <f>Cleaned_Prepared_Data!P84</f>
        <v>2025-03</v>
      </c>
      <c r="C84" s="2" t="str">
        <f>Cleaned_Prepared_Data!C84</f>
        <v>West</v>
      </c>
      <c r="D84" s="2" t="str">
        <f>Cleaned_Prepared_Data!D84</f>
        <v>Mall</v>
      </c>
      <c r="E84" s="2">
        <f>Cleaned_Prepared_Data!M84</f>
        <v>727241.86</v>
      </c>
      <c r="F84" s="2">
        <f>Cleaned_Prepared_Data!E84</f>
        <v>72731.14</v>
      </c>
      <c r="G84" s="2">
        <f>Cleaned_Prepared_Data!F84</f>
        <v>4644</v>
      </c>
      <c r="H84" s="2">
        <f>Cleaned_Prepared_Data!G84</f>
        <v>8.4000000000000005E-2</v>
      </c>
      <c r="I84" s="2">
        <f>Cleaned_Prepared_Data!H84</f>
        <v>15</v>
      </c>
      <c r="J84" s="2">
        <f>Cleaned_Prepared_Data!I84</f>
        <v>87.1</v>
      </c>
      <c r="K84" s="2">
        <f>Cleaned_Prepared_Data!K84</f>
        <v>0</v>
      </c>
      <c r="L84" s="2">
        <f>Cleaned_Prepared_Data!L84</f>
        <v>4.5999999999999996</v>
      </c>
      <c r="M84" s="2">
        <f t="shared" si="3"/>
        <v>0</v>
      </c>
      <c r="N84" s="2">
        <f t="shared" si="4"/>
        <v>0</v>
      </c>
      <c r="O84" s="2">
        <f t="shared" si="5"/>
        <v>1</v>
      </c>
    </row>
    <row r="85" spans="1:15" x14ac:dyDescent="0.35">
      <c r="A85" s="2" t="str">
        <f>Cleaned_Prepared_Data!A85</f>
        <v>STR-1021</v>
      </c>
      <c r="B85" s="2" t="str">
        <f>Cleaned_Prepared_Data!P85</f>
        <v>2025-04</v>
      </c>
      <c r="C85" s="2" t="str">
        <f>Cleaned_Prepared_Data!C85</f>
        <v>West</v>
      </c>
      <c r="D85" s="2" t="str">
        <f>Cleaned_Prepared_Data!D85</f>
        <v>Mall</v>
      </c>
      <c r="E85" s="2">
        <f>Cleaned_Prepared_Data!M85</f>
        <v>569100.78</v>
      </c>
      <c r="F85" s="2">
        <f>Cleaned_Prepared_Data!E85</f>
        <v>36475.71</v>
      </c>
      <c r="G85" s="2">
        <f>Cleaned_Prepared_Data!F85</f>
        <v>3559</v>
      </c>
      <c r="H85" s="2">
        <f>Cleaned_Prepared_Data!G85</f>
        <v>0.03</v>
      </c>
      <c r="I85" s="2">
        <f>Cleaned_Prepared_Data!H85</f>
        <v>8</v>
      </c>
      <c r="J85" s="2">
        <f>Cleaned_Prepared_Data!I85</f>
        <v>83.6</v>
      </c>
      <c r="K85" s="2">
        <f>Cleaned_Prepared_Data!K85</f>
        <v>0</v>
      </c>
      <c r="L85" s="2">
        <f>Cleaned_Prepared_Data!L85</f>
        <v>4.2</v>
      </c>
      <c r="M85" s="2">
        <f t="shared" si="3"/>
        <v>0</v>
      </c>
      <c r="N85" s="2">
        <f t="shared" si="4"/>
        <v>0</v>
      </c>
      <c r="O85" s="2">
        <f t="shared" si="5"/>
        <v>1</v>
      </c>
    </row>
    <row r="86" spans="1:15" x14ac:dyDescent="0.35">
      <c r="A86" s="2" t="str">
        <f>Cleaned_Prepared_Data!A86</f>
        <v>STR-1022</v>
      </c>
      <c r="B86" s="2" t="str">
        <f>Cleaned_Prepared_Data!P86</f>
        <v>2025-01</v>
      </c>
      <c r="C86" s="2" t="str">
        <f>Cleaned_Prepared_Data!C86</f>
        <v>West</v>
      </c>
      <c r="D86" s="2" t="str">
        <f>Cleaned_Prepared_Data!D86</f>
        <v>High Street</v>
      </c>
      <c r="E86" s="2">
        <f>Cleaned_Prepared_Data!M86</f>
        <v>574436.29</v>
      </c>
      <c r="F86" s="2">
        <f>Cleaned_Prepared_Data!E86</f>
        <v>55388.11</v>
      </c>
      <c r="G86" s="2">
        <f>Cleaned_Prepared_Data!F86</f>
        <v>3091</v>
      </c>
      <c r="H86" s="2">
        <f>Cleaned_Prepared_Data!G86</f>
        <v>0.108</v>
      </c>
      <c r="I86" s="2">
        <f>Cleaned_Prepared_Data!H86</f>
        <v>7</v>
      </c>
      <c r="J86" s="2">
        <f>Cleaned_Prepared_Data!I86</f>
        <v>85.4</v>
      </c>
      <c r="K86" s="2">
        <f>Cleaned_Prepared_Data!K86</f>
        <v>0</v>
      </c>
      <c r="L86" s="2">
        <f>Cleaned_Prepared_Data!L86</f>
        <v>4.9000000000000004</v>
      </c>
      <c r="M86" s="2">
        <f t="shared" si="3"/>
        <v>0</v>
      </c>
      <c r="N86" s="2">
        <f t="shared" si="4"/>
        <v>1</v>
      </c>
      <c r="O86" s="2">
        <f t="shared" si="5"/>
        <v>0</v>
      </c>
    </row>
    <row r="87" spans="1:15" x14ac:dyDescent="0.35">
      <c r="A87" s="2" t="str">
        <f>Cleaned_Prepared_Data!A87</f>
        <v>STR-1022</v>
      </c>
      <c r="B87" s="2" t="str">
        <f>Cleaned_Prepared_Data!P87</f>
        <v>2025-02</v>
      </c>
      <c r="C87" s="2" t="str">
        <f>Cleaned_Prepared_Data!C87</f>
        <v>West</v>
      </c>
      <c r="D87" s="2" t="str">
        <f>Cleaned_Prepared_Data!D87</f>
        <v>High Street</v>
      </c>
      <c r="E87" s="2">
        <f>Cleaned_Prepared_Data!M87</f>
        <v>611766.72</v>
      </c>
      <c r="F87" s="2">
        <f>Cleaned_Prepared_Data!E87</f>
        <v>88443.77</v>
      </c>
      <c r="G87" s="2">
        <f>Cleaned_Prepared_Data!F87</f>
        <v>4004</v>
      </c>
      <c r="H87" s="2">
        <f>Cleaned_Prepared_Data!G87</f>
        <v>0.20599999999999999</v>
      </c>
      <c r="I87" s="2">
        <f>Cleaned_Prepared_Data!H87</f>
        <v>11</v>
      </c>
      <c r="J87" s="2">
        <f>Cleaned_Prepared_Data!I87</f>
        <v>91.9</v>
      </c>
      <c r="K87" s="2">
        <f>Cleaned_Prepared_Data!K87</f>
        <v>0</v>
      </c>
      <c r="L87" s="2">
        <f>Cleaned_Prepared_Data!L87</f>
        <v>0</v>
      </c>
      <c r="M87" s="2">
        <f t="shared" si="3"/>
        <v>0</v>
      </c>
      <c r="N87" s="2">
        <f t="shared" si="4"/>
        <v>1</v>
      </c>
      <c r="O87" s="2">
        <f t="shared" si="5"/>
        <v>0</v>
      </c>
    </row>
    <row r="88" spans="1:15" x14ac:dyDescent="0.35">
      <c r="A88" s="2" t="str">
        <f>Cleaned_Prepared_Data!A88</f>
        <v>STR-1022</v>
      </c>
      <c r="B88" s="2" t="str">
        <f>Cleaned_Prepared_Data!P88</f>
        <v>2025-03</v>
      </c>
      <c r="C88" s="2" t="str">
        <f>Cleaned_Prepared_Data!C88</f>
        <v>West</v>
      </c>
      <c r="D88" s="2" t="str">
        <f>Cleaned_Prepared_Data!D88</f>
        <v>High Street</v>
      </c>
      <c r="E88" s="2">
        <f>Cleaned_Prepared_Data!M88</f>
        <v>614596.31999999995</v>
      </c>
      <c r="F88" s="2">
        <f>Cleaned_Prepared_Data!E88</f>
        <v>78231.91</v>
      </c>
      <c r="G88" s="2">
        <f>Cleaned_Prepared_Data!F88</f>
        <v>3788</v>
      </c>
      <c r="H88" s="2">
        <f>Cleaned_Prepared_Data!G88</f>
        <v>5.8999999999999997E-2</v>
      </c>
      <c r="I88" s="2">
        <f>Cleaned_Prepared_Data!H88</f>
        <v>11</v>
      </c>
      <c r="J88" s="2">
        <f>Cleaned_Prepared_Data!I88</f>
        <v>88.5</v>
      </c>
      <c r="K88" s="2">
        <f>Cleaned_Prepared_Data!K88</f>
        <v>0</v>
      </c>
      <c r="L88" s="2">
        <f>Cleaned_Prepared_Data!L88</f>
        <v>4.3</v>
      </c>
      <c r="M88" s="2">
        <f t="shared" si="3"/>
        <v>0</v>
      </c>
      <c r="N88" s="2">
        <f t="shared" si="4"/>
        <v>1</v>
      </c>
      <c r="O88" s="2">
        <f t="shared" si="5"/>
        <v>0</v>
      </c>
    </row>
    <row r="89" spans="1:15" x14ac:dyDescent="0.35">
      <c r="A89" s="2" t="str">
        <f>Cleaned_Prepared_Data!A89</f>
        <v>STR-1022</v>
      </c>
      <c r="B89" s="2" t="str">
        <f>Cleaned_Prepared_Data!P89</f>
        <v>2025-04</v>
      </c>
      <c r="C89" s="2" t="str">
        <f>Cleaned_Prepared_Data!C89</f>
        <v>West</v>
      </c>
      <c r="D89" s="2" t="str">
        <f>Cleaned_Prepared_Data!D89</f>
        <v>High Street</v>
      </c>
      <c r="E89" s="2">
        <f>Cleaned_Prepared_Data!M89</f>
        <v>450711.92</v>
      </c>
      <c r="F89" s="2">
        <f>Cleaned_Prepared_Data!E89</f>
        <v>18996.32</v>
      </c>
      <c r="G89" s="2">
        <f>Cleaned_Prepared_Data!F89</f>
        <v>1260</v>
      </c>
      <c r="H89" s="2">
        <f>Cleaned_Prepared_Data!G89</f>
        <v>0.14499999999999999</v>
      </c>
      <c r="I89" s="2">
        <f>Cleaned_Prepared_Data!H89</f>
        <v>9</v>
      </c>
      <c r="J89" s="2">
        <f>Cleaned_Prepared_Data!I89</f>
        <v>86.4</v>
      </c>
      <c r="K89" s="2">
        <f>Cleaned_Prepared_Data!K89</f>
        <v>0</v>
      </c>
      <c r="L89" s="2">
        <f>Cleaned_Prepared_Data!L89</f>
        <v>4.5999999999999996</v>
      </c>
      <c r="M89" s="2">
        <f t="shared" si="3"/>
        <v>0</v>
      </c>
      <c r="N89" s="2">
        <f t="shared" si="4"/>
        <v>1</v>
      </c>
      <c r="O89" s="2">
        <f t="shared" si="5"/>
        <v>0</v>
      </c>
    </row>
    <row r="90" spans="1:15" x14ac:dyDescent="0.35">
      <c r="A90" s="2" t="str">
        <f>Cleaned_Prepared_Data!A90</f>
        <v>STR-1023</v>
      </c>
      <c r="B90" s="2" t="str">
        <f>Cleaned_Prepared_Data!P90</f>
        <v>2025-01</v>
      </c>
      <c r="C90" s="2" t="str">
        <f>Cleaned_Prepared_Data!C90</f>
        <v>South</v>
      </c>
      <c r="D90" s="2" t="str">
        <f>Cleaned_Prepared_Data!D90</f>
        <v>Mall</v>
      </c>
      <c r="E90" s="2">
        <f>Cleaned_Prepared_Data!M90</f>
        <v>711213.46</v>
      </c>
      <c r="F90" s="2">
        <f>Cleaned_Prepared_Data!E90</f>
        <v>50517.94</v>
      </c>
      <c r="G90" s="2">
        <f>Cleaned_Prepared_Data!F90</f>
        <v>7024</v>
      </c>
      <c r="H90" s="2">
        <f>Cleaned_Prepared_Data!G90</f>
        <v>2.9000000000000001E-2</v>
      </c>
      <c r="I90" s="2">
        <f>Cleaned_Prepared_Data!H90</f>
        <v>18</v>
      </c>
      <c r="J90" s="2">
        <f>Cleaned_Prepared_Data!I90</f>
        <v>79.2</v>
      </c>
      <c r="K90" s="2">
        <f>Cleaned_Prepared_Data!K90</f>
        <v>1</v>
      </c>
      <c r="L90" s="2">
        <f>Cleaned_Prepared_Data!L90</f>
        <v>4.0999999999999996</v>
      </c>
      <c r="M90" s="2">
        <f t="shared" si="3"/>
        <v>0</v>
      </c>
      <c r="N90" s="2">
        <f t="shared" si="4"/>
        <v>0</v>
      </c>
      <c r="O90" s="2">
        <f t="shared" si="5"/>
        <v>1</v>
      </c>
    </row>
    <row r="91" spans="1:15" x14ac:dyDescent="0.35">
      <c r="A91" s="2" t="str">
        <f>Cleaned_Prepared_Data!A91</f>
        <v>STR-1023</v>
      </c>
      <c r="B91" s="2" t="str">
        <f>Cleaned_Prepared_Data!P91</f>
        <v>2025-02</v>
      </c>
      <c r="C91" s="2" t="str">
        <f>Cleaned_Prepared_Data!C91</f>
        <v>South</v>
      </c>
      <c r="D91" s="2" t="str">
        <f>Cleaned_Prepared_Data!D91</f>
        <v>Mall</v>
      </c>
      <c r="E91" s="2">
        <f>Cleaned_Prepared_Data!M91</f>
        <v>627171.9</v>
      </c>
      <c r="F91" s="2">
        <f>Cleaned_Prepared_Data!E91</f>
        <v>141540.29</v>
      </c>
      <c r="G91" s="2">
        <f>Cleaned_Prepared_Data!F91</f>
        <v>5400</v>
      </c>
      <c r="H91" s="2">
        <f>Cleaned_Prepared_Data!G91</f>
        <v>1.2999999999999999E-2</v>
      </c>
      <c r="I91" s="2">
        <f>Cleaned_Prepared_Data!H91</f>
        <v>12</v>
      </c>
      <c r="J91" s="2">
        <f>Cleaned_Prepared_Data!I91</f>
        <v>87</v>
      </c>
      <c r="K91" s="2">
        <f>Cleaned_Prepared_Data!K91</f>
        <v>0</v>
      </c>
      <c r="L91" s="2">
        <f>Cleaned_Prepared_Data!L91</f>
        <v>4.5</v>
      </c>
      <c r="M91" s="2">
        <f t="shared" si="3"/>
        <v>0</v>
      </c>
      <c r="N91" s="2">
        <f t="shared" si="4"/>
        <v>0</v>
      </c>
      <c r="O91" s="2">
        <f t="shared" si="5"/>
        <v>1</v>
      </c>
    </row>
    <row r="92" spans="1:15" x14ac:dyDescent="0.35">
      <c r="A92" s="2" t="str">
        <f>Cleaned_Prepared_Data!A92</f>
        <v>STR-1023</v>
      </c>
      <c r="B92" s="2" t="str">
        <f>Cleaned_Prepared_Data!P92</f>
        <v>2025-03</v>
      </c>
      <c r="C92" s="2" t="str">
        <f>Cleaned_Prepared_Data!C92</f>
        <v>South</v>
      </c>
      <c r="D92" s="2" t="str">
        <f>Cleaned_Prepared_Data!D92</f>
        <v>Mall</v>
      </c>
      <c r="E92" s="2">
        <f>Cleaned_Prepared_Data!M92</f>
        <v>739852.58</v>
      </c>
      <c r="F92" s="2">
        <f>Cleaned_Prepared_Data!E92</f>
        <v>82116.19</v>
      </c>
      <c r="G92" s="2">
        <f>Cleaned_Prepared_Data!F92</f>
        <v>5988</v>
      </c>
      <c r="H92" s="2">
        <f>Cleaned_Prepared_Data!G92</f>
        <v>0.04</v>
      </c>
      <c r="I92" s="2">
        <f>Cleaned_Prepared_Data!H92</f>
        <v>17</v>
      </c>
      <c r="J92" s="2">
        <f>Cleaned_Prepared_Data!I92</f>
        <v>91.8</v>
      </c>
      <c r="K92" s="2">
        <f>Cleaned_Prepared_Data!K92</f>
        <v>0</v>
      </c>
      <c r="L92" s="2">
        <f>Cleaned_Prepared_Data!L92</f>
        <v>4.7</v>
      </c>
      <c r="M92" s="2">
        <f t="shared" si="3"/>
        <v>0</v>
      </c>
      <c r="N92" s="2">
        <f t="shared" si="4"/>
        <v>0</v>
      </c>
      <c r="O92" s="2">
        <f t="shared" si="5"/>
        <v>1</v>
      </c>
    </row>
    <row r="93" spans="1:15" x14ac:dyDescent="0.35">
      <c r="A93" s="2" t="str">
        <f>Cleaned_Prepared_Data!A93</f>
        <v>STR-1023</v>
      </c>
      <c r="B93" s="2" t="str">
        <f>Cleaned_Prepared_Data!P93</f>
        <v>2025-04</v>
      </c>
      <c r="C93" s="2" t="str">
        <f>Cleaned_Prepared_Data!C93</f>
        <v>South</v>
      </c>
      <c r="D93" s="2" t="str">
        <f>Cleaned_Prepared_Data!D93</f>
        <v>Mall</v>
      </c>
      <c r="E93" s="2">
        <f>Cleaned_Prepared_Data!M93</f>
        <v>586307.22</v>
      </c>
      <c r="F93" s="2">
        <f>Cleaned_Prepared_Data!E93</f>
        <v>31207.51</v>
      </c>
      <c r="G93" s="2">
        <f>Cleaned_Prepared_Data!F93</f>
        <v>3701</v>
      </c>
      <c r="H93" s="2">
        <f>Cleaned_Prepared_Data!G93</f>
        <v>4.2999999999999997E-2</v>
      </c>
      <c r="I93" s="2">
        <f>Cleaned_Prepared_Data!H93</f>
        <v>11</v>
      </c>
      <c r="J93" s="2">
        <f>Cleaned_Prepared_Data!I93</f>
        <v>84.7</v>
      </c>
      <c r="K93" s="2">
        <f>Cleaned_Prepared_Data!K93</f>
        <v>0</v>
      </c>
      <c r="L93" s="2">
        <f>Cleaned_Prepared_Data!L93</f>
        <v>4.3</v>
      </c>
      <c r="M93" s="2">
        <f t="shared" si="3"/>
        <v>0</v>
      </c>
      <c r="N93" s="2">
        <f t="shared" si="4"/>
        <v>0</v>
      </c>
      <c r="O93" s="2">
        <f t="shared" si="5"/>
        <v>1</v>
      </c>
    </row>
    <row r="94" spans="1:15" x14ac:dyDescent="0.35">
      <c r="A94" s="2" t="str">
        <f>Cleaned_Prepared_Data!A94</f>
        <v>STR-1024</v>
      </c>
      <c r="B94" s="2" t="str">
        <f>Cleaned_Prepared_Data!P94</f>
        <v>2025-01</v>
      </c>
      <c r="C94" s="2" t="str">
        <f>Cleaned_Prepared_Data!C94</f>
        <v>West</v>
      </c>
      <c r="D94" s="2" t="str">
        <f>Cleaned_Prepared_Data!D94</f>
        <v>Residential</v>
      </c>
      <c r="E94" s="2">
        <f>Cleaned_Prepared_Data!M94</f>
        <v>585937.48</v>
      </c>
      <c r="F94" s="2">
        <f>Cleaned_Prepared_Data!E94</f>
        <v>38966.589999999997</v>
      </c>
      <c r="G94" s="2">
        <f>Cleaned_Prepared_Data!F94</f>
        <v>4509</v>
      </c>
      <c r="H94" s="2">
        <f>Cleaned_Prepared_Data!G94</f>
        <v>0.19400000000000001</v>
      </c>
      <c r="I94" s="2">
        <f>Cleaned_Prepared_Data!H94</f>
        <v>14</v>
      </c>
      <c r="J94" s="2">
        <f>Cleaned_Prepared_Data!I94</f>
        <v>91.1</v>
      </c>
      <c r="K94" s="2">
        <f>Cleaned_Prepared_Data!K94</f>
        <v>0</v>
      </c>
      <c r="L94" s="2">
        <f>Cleaned_Prepared_Data!L94</f>
        <v>4.5999999999999996</v>
      </c>
      <c r="M94" s="2">
        <f t="shared" si="3"/>
        <v>0</v>
      </c>
      <c r="N94" s="2">
        <f t="shared" si="4"/>
        <v>0</v>
      </c>
      <c r="O94" s="2">
        <f t="shared" si="5"/>
        <v>0</v>
      </c>
    </row>
    <row r="95" spans="1:15" x14ac:dyDescent="0.35">
      <c r="A95" s="2" t="str">
        <f>Cleaned_Prepared_Data!A95</f>
        <v>STR-1024</v>
      </c>
      <c r="B95" s="2" t="str">
        <f>Cleaned_Prepared_Data!P95</f>
        <v>2025-02</v>
      </c>
      <c r="C95" s="2" t="str">
        <f>Cleaned_Prepared_Data!C95</f>
        <v>West</v>
      </c>
      <c r="D95" s="2" t="str">
        <f>Cleaned_Prepared_Data!D95</f>
        <v>Residential</v>
      </c>
      <c r="E95" s="2">
        <f>Cleaned_Prepared_Data!M95</f>
        <v>753473.55</v>
      </c>
      <c r="F95" s="2">
        <f>Cleaned_Prepared_Data!E95</f>
        <v>67439.3</v>
      </c>
      <c r="G95" s="2">
        <f>Cleaned_Prepared_Data!F95</f>
        <v>6477</v>
      </c>
      <c r="H95" s="2">
        <f>Cleaned_Prepared_Data!G95</f>
        <v>0</v>
      </c>
      <c r="I95" s="2">
        <f>Cleaned_Prepared_Data!H95</f>
        <v>16</v>
      </c>
      <c r="J95" s="2">
        <f>Cleaned_Prepared_Data!I95</f>
        <v>90.9</v>
      </c>
      <c r="K95" s="2">
        <f>Cleaned_Prepared_Data!K95</f>
        <v>0</v>
      </c>
      <c r="L95" s="2">
        <f>Cleaned_Prepared_Data!L95</f>
        <v>4.5</v>
      </c>
      <c r="M95" s="2">
        <f t="shared" si="3"/>
        <v>0</v>
      </c>
      <c r="N95" s="2">
        <f t="shared" si="4"/>
        <v>0</v>
      </c>
      <c r="O95" s="2">
        <f t="shared" si="5"/>
        <v>0</v>
      </c>
    </row>
    <row r="96" spans="1:15" x14ac:dyDescent="0.35">
      <c r="A96" s="2" t="str">
        <f>Cleaned_Prepared_Data!A96</f>
        <v>STR-1024</v>
      </c>
      <c r="B96" s="2" t="str">
        <f>Cleaned_Prepared_Data!P96</f>
        <v>2025-03</v>
      </c>
      <c r="C96" s="2" t="str">
        <f>Cleaned_Prepared_Data!C96</f>
        <v>West</v>
      </c>
      <c r="D96" s="2" t="str">
        <f>Cleaned_Prepared_Data!D96</f>
        <v>Residential</v>
      </c>
      <c r="E96" s="2">
        <f>Cleaned_Prepared_Data!M96</f>
        <v>838250.32</v>
      </c>
      <c r="F96" s="2">
        <f>Cleaned_Prepared_Data!E96</f>
        <v>86421.88</v>
      </c>
      <c r="G96" s="2">
        <f>Cleaned_Prepared_Data!F96</f>
        <v>7970</v>
      </c>
      <c r="H96" s="2">
        <f>Cleaned_Prepared_Data!G96</f>
        <v>7.2999999999999995E-2</v>
      </c>
      <c r="I96" s="2">
        <f>Cleaned_Prepared_Data!H96</f>
        <v>17</v>
      </c>
      <c r="J96" s="2">
        <f>Cleaned_Prepared_Data!I96</f>
        <v>91.3</v>
      </c>
      <c r="K96" s="2">
        <f>Cleaned_Prepared_Data!K96</f>
        <v>0</v>
      </c>
      <c r="L96" s="2">
        <f>Cleaned_Prepared_Data!L96</f>
        <v>5</v>
      </c>
      <c r="M96" s="2">
        <f t="shared" si="3"/>
        <v>0</v>
      </c>
      <c r="N96" s="2">
        <f t="shared" si="4"/>
        <v>0</v>
      </c>
      <c r="O96" s="2">
        <f t="shared" si="5"/>
        <v>0</v>
      </c>
    </row>
    <row r="97" spans="1:15" x14ac:dyDescent="0.35">
      <c r="A97" s="2" t="str">
        <f>Cleaned_Prepared_Data!A97</f>
        <v>STR-1024</v>
      </c>
      <c r="B97" s="2" t="str">
        <f>Cleaned_Prepared_Data!P97</f>
        <v>2025-04</v>
      </c>
      <c r="C97" s="2" t="str">
        <f>Cleaned_Prepared_Data!C97</f>
        <v>West</v>
      </c>
      <c r="D97" s="2" t="str">
        <f>Cleaned_Prepared_Data!D97</f>
        <v>Residential</v>
      </c>
      <c r="E97" s="2">
        <f>Cleaned_Prepared_Data!M97</f>
        <v>607898.12</v>
      </c>
      <c r="F97" s="2">
        <f>Cleaned_Prepared_Data!E97</f>
        <v>9534.65</v>
      </c>
      <c r="G97" s="2">
        <f>Cleaned_Prepared_Data!F97</f>
        <v>6057</v>
      </c>
      <c r="H97" s="2">
        <f>Cleaned_Prepared_Data!G97</f>
        <v>7.3999999999999996E-2</v>
      </c>
      <c r="I97" s="2">
        <f>Cleaned_Prepared_Data!H97</f>
        <v>15</v>
      </c>
      <c r="J97" s="2">
        <f>Cleaned_Prepared_Data!I97</f>
        <v>94.1</v>
      </c>
      <c r="K97" s="2">
        <f>Cleaned_Prepared_Data!K97</f>
        <v>0</v>
      </c>
      <c r="L97" s="2">
        <f>Cleaned_Prepared_Data!L97</f>
        <v>4.5</v>
      </c>
      <c r="M97" s="2">
        <f t="shared" si="3"/>
        <v>0</v>
      </c>
      <c r="N97" s="2">
        <f t="shared" si="4"/>
        <v>0</v>
      </c>
      <c r="O97" s="2">
        <f t="shared" si="5"/>
        <v>0</v>
      </c>
    </row>
    <row r="98" spans="1:15" x14ac:dyDescent="0.35">
      <c r="A98" s="2" t="str">
        <f>Cleaned_Prepared_Data!A98</f>
        <v>STR-1025</v>
      </c>
      <c r="B98" s="2" t="str">
        <f>Cleaned_Prepared_Data!P98</f>
        <v>2025-01</v>
      </c>
      <c r="C98" s="2" t="str">
        <f>Cleaned_Prepared_Data!C98</f>
        <v>West</v>
      </c>
      <c r="D98" s="2" t="str">
        <f>Cleaned_Prepared_Data!D98</f>
        <v>Mall</v>
      </c>
      <c r="E98" s="2">
        <f>Cleaned_Prepared_Data!M98</f>
        <v>691113.62</v>
      </c>
      <c r="F98" s="2">
        <f>Cleaned_Prepared_Data!E98</f>
        <v>61132.07</v>
      </c>
      <c r="G98" s="2">
        <f>Cleaned_Prepared_Data!F98</f>
        <v>6394</v>
      </c>
      <c r="H98" s="2">
        <f>Cleaned_Prepared_Data!G98</f>
        <v>0.16300000000000001</v>
      </c>
      <c r="I98" s="2">
        <f>Cleaned_Prepared_Data!H98</f>
        <v>19</v>
      </c>
      <c r="J98" s="2">
        <f>Cleaned_Prepared_Data!I98</f>
        <v>91</v>
      </c>
      <c r="K98" s="2">
        <f>Cleaned_Prepared_Data!K98</f>
        <v>0</v>
      </c>
      <c r="L98" s="2">
        <f>Cleaned_Prepared_Data!L98</f>
        <v>4.4000000000000004</v>
      </c>
      <c r="M98" s="2">
        <f t="shared" si="3"/>
        <v>0</v>
      </c>
      <c r="N98" s="2">
        <f t="shared" si="4"/>
        <v>0</v>
      </c>
      <c r="O98" s="2">
        <f t="shared" si="5"/>
        <v>1</v>
      </c>
    </row>
    <row r="99" spans="1:15" x14ac:dyDescent="0.35">
      <c r="A99" s="2" t="str">
        <f>Cleaned_Prepared_Data!A99</f>
        <v>STR-1025</v>
      </c>
      <c r="B99" s="2" t="str">
        <f>Cleaned_Prepared_Data!P99</f>
        <v>2025-02</v>
      </c>
      <c r="C99" s="2" t="str">
        <f>Cleaned_Prepared_Data!C99</f>
        <v>West</v>
      </c>
      <c r="D99" s="2" t="str">
        <f>Cleaned_Prepared_Data!D99</f>
        <v>Mall</v>
      </c>
      <c r="E99" s="2">
        <f>Cleaned_Prepared_Data!M99</f>
        <v>735509.4</v>
      </c>
      <c r="F99" s="2">
        <f>Cleaned_Prepared_Data!E99</f>
        <v>78839.39</v>
      </c>
      <c r="G99" s="2">
        <f>Cleaned_Prepared_Data!F99</f>
        <v>5150</v>
      </c>
      <c r="H99" s="2">
        <f>Cleaned_Prepared_Data!G99</f>
        <v>0.17100000000000001</v>
      </c>
      <c r="I99" s="2">
        <f>Cleaned_Prepared_Data!H99</f>
        <v>13</v>
      </c>
      <c r="J99" s="2">
        <f>Cleaned_Prepared_Data!I99</f>
        <v>85.8</v>
      </c>
      <c r="K99" s="2">
        <f>Cleaned_Prepared_Data!K99</f>
        <v>0</v>
      </c>
      <c r="L99" s="2">
        <f>Cleaned_Prepared_Data!L99</f>
        <v>4.3</v>
      </c>
      <c r="M99" s="2">
        <f t="shared" si="3"/>
        <v>0</v>
      </c>
      <c r="N99" s="2">
        <f t="shared" si="4"/>
        <v>0</v>
      </c>
      <c r="O99" s="2">
        <f t="shared" si="5"/>
        <v>1</v>
      </c>
    </row>
    <row r="100" spans="1:15" x14ac:dyDescent="0.35">
      <c r="A100" s="2" t="str">
        <f>Cleaned_Prepared_Data!A100</f>
        <v>STR-1025</v>
      </c>
      <c r="B100" s="2" t="str">
        <f>Cleaned_Prepared_Data!P100</f>
        <v>2025-03</v>
      </c>
      <c r="C100" s="2" t="str">
        <f>Cleaned_Prepared_Data!C100</f>
        <v>West</v>
      </c>
      <c r="D100" s="2" t="str">
        <f>Cleaned_Prepared_Data!D100</f>
        <v>Mall</v>
      </c>
      <c r="E100" s="2">
        <f>Cleaned_Prepared_Data!M100</f>
        <v>605775.32999999996</v>
      </c>
      <c r="F100" s="2">
        <f>Cleaned_Prepared_Data!E100</f>
        <v>38752.800000000003</v>
      </c>
      <c r="G100" s="2">
        <f>Cleaned_Prepared_Data!F100</f>
        <v>4712</v>
      </c>
      <c r="H100" s="2">
        <f>Cleaned_Prepared_Data!G100</f>
        <v>7.4999999999999997E-2</v>
      </c>
      <c r="I100" s="2">
        <f>Cleaned_Prepared_Data!H100</f>
        <v>15</v>
      </c>
      <c r="J100" s="2">
        <f>Cleaned_Prepared_Data!I100</f>
        <v>89.7</v>
      </c>
      <c r="K100" s="2">
        <f>Cleaned_Prepared_Data!K100</f>
        <v>0</v>
      </c>
      <c r="L100" s="2">
        <f>Cleaned_Prepared_Data!L100</f>
        <v>4.3</v>
      </c>
      <c r="M100" s="2">
        <f t="shared" si="3"/>
        <v>0</v>
      </c>
      <c r="N100" s="2">
        <f t="shared" si="4"/>
        <v>0</v>
      </c>
      <c r="O100" s="2">
        <f t="shared" si="5"/>
        <v>1</v>
      </c>
    </row>
    <row r="101" spans="1:15" x14ac:dyDescent="0.35">
      <c r="A101" s="2" t="str">
        <f>Cleaned_Prepared_Data!A101</f>
        <v>STR-1025</v>
      </c>
      <c r="B101" s="2" t="str">
        <f>Cleaned_Prepared_Data!P101</f>
        <v>2025-04</v>
      </c>
      <c r="C101" s="2" t="str">
        <f>Cleaned_Prepared_Data!C101</f>
        <v>West</v>
      </c>
      <c r="D101" s="2" t="str">
        <f>Cleaned_Prepared_Data!D101</f>
        <v>Mall</v>
      </c>
      <c r="E101" s="2">
        <f>Cleaned_Prepared_Data!M101</f>
        <v>675177.68</v>
      </c>
      <c r="F101" s="2">
        <f>Cleaned_Prepared_Data!E101</f>
        <v>55101.1</v>
      </c>
      <c r="G101" s="2">
        <f>Cleaned_Prepared_Data!F101</f>
        <v>5281</v>
      </c>
      <c r="H101" s="2">
        <f>Cleaned_Prepared_Data!G101</f>
        <v>0.189</v>
      </c>
      <c r="I101" s="2">
        <f>Cleaned_Prepared_Data!H101</f>
        <v>11</v>
      </c>
      <c r="J101" s="2">
        <f>Cleaned_Prepared_Data!I101</f>
        <v>91</v>
      </c>
      <c r="K101" s="2">
        <f>Cleaned_Prepared_Data!K101</f>
        <v>0</v>
      </c>
      <c r="L101" s="2">
        <f>Cleaned_Prepared_Data!L101</f>
        <v>4.4000000000000004</v>
      </c>
      <c r="M101" s="2">
        <f t="shared" si="3"/>
        <v>0</v>
      </c>
      <c r="N101" s="2">
        <f t="shared" si="4"/>
        <v>0</v>
      </c>
      <c r="O101" s="2">
        <f t="shared" si="5"/>
        <v>1</v>
      </c>
    </row>
    <row r="102" spans="1:15" x14ac:dyDescent="0.35">
      <c r="A102" s="2" t="str">
        <f>Cleaned_Prepared_Data!A102</f>
        <v>STR-1026</v>
      </c>
      <c r="B102" s="2" t="str">
        <f>Cleaned_Prepared_Data!P102</f>
        <v>2025-01</v>
      </c>
      <c r="C102" s="2" t="str">
        <f>Cleaned_Prepared_Data!C102</f>
        <v>East</v>
      </c>
      <c r="D102" s="2" t="str">
        <f>Cleaned_Prepared_Data!D102</f>
        <v>Mall</v>
      </c>
      <c r="E102" s="2">
        <f>Cleaned_Prepared_Data!M102</f>
        <v>635181.35</v>
      </c>
      <c r="F102" s="2">
        <f>Cleaned_Prepared_Data!E102</f>
        <v>53084.76</v>
      </c>
      <c r="G102" s="2">
        <f>Cleaned_Prepared_Data!F102</f>
        <v>3642</v>
      </c>
      <c r="H102" s="2">
        <f>Cleaned_Prepared_Data!G102</f>
        <v>0.15</v>
      </c>
      <c r="I102" s="2">
        <f>Cleaned_Prepared_Data!H102</f>
        <v>12</v>
      </c>
      <c r="J102" s="2">
        <f>Cleaned_Prepared_Data!I102</f>
        <v>91.4</v>
      </c>
      <c r="K102" s="2">
        <f>Cleaned_Prepared_Data!K102</f>
        <v>0</v>
      </c>
      <c r="L102" s="2">
        <f>Cleaned_Prepared_Data!L102</f>
        <v>4.4000000000000004</v>
      </c>
      <c r="M102" s="2">
        <f t="shared" si="3"/>
        <v>0</v>
      </c>
      <c r="N102" s="2">
        <f t="shared" si="4"/>
        <v>0</v>
      </c>
      <c r="O102" s="2">
        <f t="shared" si="5"/>
        <v>1</v>
      </c>
    </row>
    <row r="103" spans="1:15" x14ac:dyDescent="0.35">
      <c r="A103" s="2" t="str">
        <f>Cleaned_Prepared_Data!A103</f>
        <v>STR-1026</v>
      </c>
      <c r="B103" s="2" t="str">
        <f>Cleaned_Prepared_Data!P103</f>
        <v>2025-02</v>
      </c>
      <c r="C103" s="2" t="str">
        <f>Cleaned_Prepared_Data!C103</f>
        <v>East</v>
      </c>
      <c r="D103" s="2" t="str">
        <f>Cleaned_Prepared_Data!D103</f>
        <v>Mall</v>
      </c>
      <c r="E103" s="2">
        <f>Cleaned_Prepared_Data!M103</f>
        <v>586626.93999999994</v>
      </c>
      <c r="F103" s="2">
        <f>Cleaned_Prepared_Data!E103</f>
        <v>63101.59</v>
      </c>
      <c r="G103" s="2">
        <f>Cleaned_Prepared_Data!F103</f>
        <v>4373</v>
      </c>
      <c r="H103" s="2">
        <f>Cleaned_Prepared_Data!G103</f>
        <v>0.17299999999999999</v>
      </c>
      <c r="I103" s="2">
        <f>Cleaned_Prepared_Data!H103</f>
        <v>14</v>
      </c>
      <c r="J103" s="2">
        <f>Cleaned_Prepared_Data!I103</f>
        <v>90.4</v>
      </c>
      <c r="K103" s="2">
        <f>Cleaned_Prepared_Data!K103</f>
        <v>0</v>
      </c>
      <c r="L103" s="2">
        <f>Cleaned_Prepared_Data!L103</f>
        <v>4.7</v>
      </c>
      <c r="M103" s="2">
        <f t="shared" si="3"/>
        <v>0</v>
      </c>
      <c r="N103" s="2">
        <f t="shared" si="4"/>
        <v>0</v>
      </c>
      <c r="O103" s="2">
        <f t="shared" si="5"/>
        <v>1</v>
      </c>
    </row>
    <row r="104" spans="1:15" x14ac:dyDescent="0.35">
      <c r="A104" s="2" t="str">
        <f>Cleaned_Prepared_Data!A104</f>
        <v>STR-1026</v>
      </c>
      <c r="B104" s="2" t="str">
        <f>Cleaned_Prepared_Data!P104</f>
        <v>2025-03</v>
      </c>
      <c r="C104" s="2" t="str">
        <f>Cleaned_Prepared_Data!C104</f>
        <v>East</v>
      </c>
      <c r="D104" s="2" t="str">
        <f>Cleaned_Prepared_Data!D104</f>
        <v>Mall</v>
      </c>
      <c r="E104" s="2">
        <f>Cleaned_Prepared_Data!M104</f>
        <v>740102.64</v>
      </c>
      <c r="F104" s="2">
        <f>Cleaned_Prepared_Data!E104</f>
        <v>90084.4</v>
      </c>
      <c r="G104" s="2">
        <f>Cleaned_Prepared_Data!F104</f>
        <v>6832</v>
      </c>
      <c r="H104" s="2">
        <f>Cleaned_Prepared_Data!G104</f>
        <v>0.185</v>
      </c>
      <c r="I104" s="2">
        <f>Cleaned_Prepared_Data!H104</f>
        <v>14</v>
      </c>
      <c r="J104" s="2">
        <f>Cleaned_Prepared_Data!I104</f>
        <v>80.5</v>
      </c>
      <c r="K104" s="2">
        <f>Cleaned_Prepared_Data!K104</f>
        <v>1</v>
      </c>
      <c r="L104" s="2">
        <f>Cleaned_Prepared_Data!L104</f>
        <v>4.4000000000000004</v>
      </c>
      <c r="M104" s="2">
        <f t="shared" si="3"/>
        <v>0</v>
      </c>
      <c r="N104" s="2">
        <f t="shared" si="4"/>
        <v>0</v>
      </c>
      <c r="O104" s="2">
        <f t="shared" si="5"/>
        <v>1</v>
      </c>
    </row>
    <row r="105" spans="1:15" x14ac:dyDescent="0.35">
      <c r="A105" s="2" t="str">
        <f>Cleaned_Prepared_Data!A105</f>
        <v>STR-1026</v>
      </c>
      <c r="B105" s="2" t="str">
        <f>Cleaned_Prepared_Data!P105</f>
        <v>2025-04</v>
      </c>
      <c r="C105" s="2" t="str">
        <f>Cleaned_Prepared_Data!C105</f>
        <v>East</v>
      </c>
      <c r="D105" s="2" t="str">
        <f>Cleaned_Prepared_Data!D105</f>
        <v>Mall</v>
      </c>
      <c r="E105" s="2">
        <f>Cleaned_Prepared_Data!M105</f>
        <v>625514.04</v>
      </c>
      <c r="F105" s="2">
        <f>Cleaned_Prepared_Data!E105</f>
        <v>32266.639999999999</v>
      </c>
      <c r="G105" s="2">
        <f>Cleaned_Prepared_Data!F105</f>
        <v>2414</v>
      </c>
      <c r="H105" s="2">
        <f>Cleaned_Prepared_Data!G105</f>
        <v>0.08</v>
      </c>
      <c r="I105" s="2">
        <f>Cleaned_Prepared_Data!H105</f>
        <v>7</v>
      </c>
      <c r="J105" s="2">
        <f>Cleaned_Prepared_Data!I105</f>
        <v>92.1</v>
      </c>
      <c r="K105" s="2">
        <f>Cleaned_Prepared_Data!K105</f>
        <v>0</v>
      </c>
      <c r="L105" s="2">
        <f>Cleaned_Prepared_Data!L105</f>
        <v>5</v>
      </c>
      <c r="M105" s="2">
        <f t="shared" si="3"/>
        <v>0</v>
      </c>
      <c r="N105" s="2">
        <f t="shared" si="4"/>
        <v>0</v>
      </c>
      <c r="O105" s="2">
        <f t="shared" si="5"/>
        <v>1</v>
      </c>
    </row>
    <row r="106" spans="1:15" x14ac:dyDescent="0.35">
      <c r="A106" s="2" t="str">
        <f>Cleaned_Prepared_Data!A106</f>
        <v>STR-1027</v>
      </c>
      <c r="B106" s="2" t="str">
        <f>Cleaned_Prepared_Data!P106</f>
        <v>2025-01</v>
      </c>
      <c r="C106" s="2" t="str">
        <f>Cleaned_Prepared_Data!C106</f>
        <v>West</v>
      </c>
      <c r="D106" s="2" t="str">
        <f>Cleaned_Prepared_Data!D106</f>
        <v>High Street</v>
      </c>
      <c r="E106" s="2">
        <f>Cleaned_Prepared_Data!M106</f>
        <v>727227.2</v>
      </c>
      <c r="F106" s="2">
        <f>Cleaned_Prepared_Data!E106</f>
        <v>57919.07</v>
      </c>
      <c r="G106" s="2">
        <f>Cleaned_Prepared_Data!F106</f>
        <v>7374</v>
      </c>
      <c r="H106" s="2">
        <f>Cleaned_Prepared_Data!G106</f>
        <v>0.10299999999999999</v>
      </c>
      <c r="I106" s="2">
        <f>Cleaned_Prepared_Data!H106</f>
        <v>21</v>
      </c>
      <c r="J106" s="2">
        <f>Cleaned_Prepared_Data!I106</f>
        <v>82.3</v>
      </c>
      <c r="K106" s="2">
        <f>Cleaned_Prepared_Data!K106</f>
        <v>0</v>
      </c>
      <c r="L106" s="2">
        <f>Cleaned_Prepared_Data!L106</f>
        <v>2.9</v>
      </c>
      <c r="M106" s="2">
        <f t="shared" si="3"/>
        <v>0</v>
      </c>
      <c r="N106" s="2">
        <f t="shared" si="4"/>
        <v>1</v>
      </c>
      <c r="O106" s="2">
        <f t="shared" si="5"/>
        <v>0</v>
      </c>
    </row>
    <row r="107" spans="1:15" x14ac:dyDescent="0.35">
      <c r="A107" s="2" t="str">
        <f>Cleaned_Prepared_Data!A107</f>
        <v>STR-1027</v>
      </c>
      <c r="B107" s="2" t="str">
        <f>Cleaned_Prepared_Data!P107</f>
        <v>2025-02</v>
      </c>
      <c r="C107" s="2" t="str">
        <f>Cleaned_Prepared_Data!C107</f>
        <v>West</v>
      </c>
      <c r="D107" s="2" t="str">
        <f>Cleaned_Prepared_Data!D107</f>
        <v>High Street</v>
      </c>
      <c r="E107" s="2">
        <f>Cleaned_Prepared_Data!M107</f>
        <v>783797.89</v>
      </c>
      <c r="F107" s="2">
        <f>Cleaned_Prepared_Data!E107</f>
        <v>74679.350000000006</v>
      </c>
      <c r="G107" s="2">
        <f>Cleaned_Prepared_Data!F107</f>
        <v>8739</v>
      </c>
      <c r="H107" s="2">
        <f>Cleaned_Prepared_Data!G107</f>
        <v>5.6000000000000001E-2</v>
      </c>
      <c r="I107" s="2">
        <f>Cleaned_Prepared_Data!H107</f>
        <v>21</v>
      </c>
      <c r="J107" s="2">
        <f>Cleaned_Prepared_Data!I107</f>
        <v>91.8</v>
      </c>
      <c r="K107" s="2">
        <f>Cleaned_Prepared_Data!K107</f>
        <v>0</v>
      </c>
      <c r="L107" s="2">
        <f>Cleaned_Prepared_Data!L107</f>
        <v>3</v>
      </c>
      <c r="M107" s="2">
        <f t="shared" si="3"/>
        <v>0</v>
      </c>
      <c r="N107" s="2">
        <f t="shared" si="4"/>
        <v>1</v>
      </c>
      <c r="O107" s="2">
        <f t="shared" si="5"/>
        <v>0</v>
      </c>
    </row>
    <row r="108" spans="1:15" x14ac:dyDescent="0.35">
      <c r="A108" s="2" t="str">
        <f>Cleaned_Prepared_Data!A108</f>
        <v>STR-1027</v>
      </c>
      <c r="B108" s="2" t="str">
        <f>Cleaned_Prepared_Data!P108</f>
        <v>2025-03</v>
      </c>
      <c r="C108" s="2" t="str">
        <f>Cleaned_Prepared_Data!C108</f>
        <v>West</v>
      </c>
      <c r="D108" s="2" t="str">
        <f>Cleaned_Prepared_Data!D108</f>
        <v>High Street</v>
      </c>
      <c r="E108" s="2">
        <f>Cleaned_Prepared_Data!M108</f>
        <v>795153.84</v>
      </c>
      <c r="F108" s="2">
        <f>Cleaned_Prepared_Data!E108</f>
        <v>64294.23</v>
      </c>
      <c r="G108" s="2">
        <f>Cleaned_Prepared_Data!F108</f>
        <v>6992</v>
      </c>
      <c r="H108" s="2">
        <f>Cleaned_Prepared_Data!G108</f>
        <v>0.13300000000000001</v>
      </c>
      <c r="I108" s="2">
        <f>Cleaned_Prepared_Data!H108</f>
        <v>14</v>
      </c>
      <c r="J108" s="2">
        <f>Cleaned_Prepared_Data!I108</f>
        <v>94.1</v>
      </c>
      <c r="K108" s="2">
        <f>Cleaned_Prepared_Data!K108</f>
        <v>0</v>
      </c>
      <c r="L108" s="2">
        <f>Cleaned_Prepared_Data!L108</f>
        <v>3</v>
      </c>
      <c r="M108" s="2">
        <f t="shared" si="3"/>
        <v>0</v>
      </c>
      <c r="N108" s="2">
        <f t="shared" si="4"/>
        <v>1</v>
      </c>
      <c r="O108" s="2">
        <f t="shared" si="5"/>
        <v>0</v>
      </c>
    </row>
    <row r="109" spans="1:15" x14ac:dyDescent="0.35">
      <c r="A109" s="2" t="str">
        <f>Cleaned_Prepared_Data!A109</f>
        <v>STR-1027</v>
      </c>
      <c r="B109" s="2" t="str">
        <f>Cleaned_Prepared_Data!P109</f>
        <v>2025-04</v>
      </c>
      <c r="C109" s="2" t="str">
        <f>Cleaned_Prepared_Data!C109</f>
        <v>West</v>
      </c>
      <c r="D109" s="2" t="str">
        <f>Cleaned_Prepared_Data!D109</f>
        <v>High Street</v>
      </c>
      <c r="E109" s="2">
        <f>Cleaned_Prepared_Data!M109</f>
        <v>665594.93999999994</v>
      </c>
      <c r="F109" s="2">
        <f>Cleaned_Prepared_Data!E109</f>
        <v>31042.03</v>
      </c>
      <c r="G109" s="2">
        <f>Cleaned_Prepared_Data!F109</f>
        <v>7107</v>
      </c>
      <c r="H109" s="2">
        <f>Cleaned_Prepared_Data!G109</f>
        <v>5.0999999999999997E-2</v>
      </c>
      <c r="I109" s="2">
        <f>Cleaned_Prepared_Data!H109</f>
        <v>15</v>
      </c>
      <c r="J109" s="2">
        <f>Cleaned_Prepared_Data!I109</f>
        <v>87</v>
      </c>
      <c r="K109" s="2">
        <f>Cleaned_Prepared_Data!K109</f>
        <v>0</v>
      </c>
      <c r="L109" s="2">
        <f>Cleaned_Prepared_Data!L109</f>
        <v>3.2</v>
      </c>
      <c r="M109" s="2">
        <f t="shared" si="3"/>
        <v>0</v>
      </c>
      <c r="N109" s="2">
        <f t="shared" si="4"/>
        <v>1</v>
      </c>
      <c r="O109" s="2">
        <f t="shared" si="5"/>
        <v>0</v>
      </c>
    </row>
    <row r="110" spans="1:15" x14ac:dyDescent="0.35">
      <c r="A110" s="2" t="str">
        <f>Cleaned_Prepared_Data!A110</f>
        <v>STR-1028</v>
      </c>
      <c r="B110" s="2" t="str">
        <f>Cleaned_Prepared_Data!P110</f>
        <v>2025-01</v>
      </c>
      <c r="C110" s="2" t="str">
        <f>Cleaned_Prepared_Data!C110</f>
        <v>East</v>
      </c>
      <c r="D110" s="2" t="str">
        <f>Cleaned_Prepared_Data!D110</f>
        <v>Mall</v>
      </c>
      <c r="E110" s="2">
        <f>Cleaned_Prepared_Data!M110</f>
        <v>709478.39</v>
      </c>
      <c r="F110" s="2">
        <f>Cleaned_Prepared_Data!E110</f>
        <v>75265.02</v>
      </c>
      <c r="G110" s="2">
        <f>Cleaned_Prepared_Data!F110</f>
        <v>6975</v>
      </c>
      <c r="H110" s="2">
        <f>Cleaned_Prepared_Data!G110</f>
        <v>0.157</v>
      </c>
      <c r="I110" s="2">
        <f>Cleaned_Prepared_Data!H110</f>
        <v>20</v>
      </c>
      <c r="J110" s="2">
        <f>Cleaned_Prepared_Data!I110</f>
        <v>73.8</v>
      </c>
      <c r="K110" s="2">
        <f>Cleaned_Prepared_Data!K110</f>
        <v>1</v>
      </c>
      <c r="L110" s="2">
        <f>Cleaned_Prepared_Data!L110</f>
        <v>3.8</v>
      </c>
      <c r="M110" s="2">
        <f t="shared" si="3"/>
        <v>0</v>
      </c>
      <c r="N110" s="2">
        <f t="shared" si="4"/>
        <v>0</v>
      </c>
      <c r="O110" s="2">
        <f t="shared" si="5"/>
        <v>1</v>
      </c>
    </row>
    <row r="111" spans="1:15" x14ac:dyDescent="0.35">
      <c r="A111" s="2" t="str">
        <f>Cleaned_Prepared_Data!A111</f>
        <v>STR-1028</v>
      </c>
      <c r="B111" s="2" t="str">
        <f>Cleaned_Prepared_Data!P111</f>
        <v>2025-02</v>
      </c>
      <c r="C111" s="2" t="str">
        <f>Cleaned_Prepared_Data!C111</f>
        <v>East</v>
      </c>
      <c r="D111" s="2" t="str">
        <f>Cleaned_Prepared_Data!D111</f>
        <v>Mall</v>
      </c>
      <c r="E111" s="2">
        <f>Cleaned_Prepared_Data!M111</f>
        <v>664162.49</v>
      </c>
      <c r="F111" s="2">
        <f>Cleaned_Prepared_Data!E111</f>
        <v>69411.7</v>
      </c>
      <c r="G111" s="2">
        <f>Cleaned_Prepared_Data!F111</f>
        <v>5493</v>
      </c>
      <c r="H111" s="2">
        <f>Cleaned_Prepared_Data!G111</f>
        <v>0.29199999999999998</v>
      </c>
      <c r="I111" s="2">
        <f>Cleaned_Prepared_Data!H111</f>
        <v>13</v>
      </c>
      <c r="J111" s="2">
        <f>Cleaned_Prepared_Data!I111</f>
        <v>86.5</v>
      </c>
      <c r="K111" s="2">
        <f>Cleaned_Prepared_Data!K111</f>
        <v>0</v>
      </c>
      <c r="L111" s="2">
        <f>Cleaned_Prepared_Data!L111</f>
        <v>3.8</v>
      </c>
      <c r="M111" s="2">
        <f t="shared" si="3"/>
        <v>0</v>
      </c>
      <c r="N111" s="2">
        <f t="shared" si="4"/>
        <v>0</v>
      </c>
      <c r="O111" s="2">
        <f t="shared" si="5"/>
        <v>1</v>
      </c>
    </row>
    <row r="112" spans="1:15" x14ac:dyDescent="0.35">
      <c r="A112" s="2" t="str">
        <f>Cleaned_Prepared_Data!A112</f>
        <v>STR-1028</v>
      </c>
      <c r="B112" s="2" t="str">
        <f>Cleaned_Prepared_Data!P112</f>
        <v>2025-03</v>
      </c>
      <c r="C112" s="2" t="str">
        <f>Cleaned_Prepared_Data!C112</f>
        <v>East</v>
      </c>
      <c r="D112" s="2" t="str">
        <f>Cleaned_Prepared_Data!D112</f>
        <v>Mall</v>
      </c>
      <c r="E112" s="2">
        <f>Cleaned_Prepared_Data!M112</f>
        <v>633494.21</v>
      </c>
      <c r="F112" s="2">
        <f>Cleaned_Prepared_Data!E112</f>
        <v>51056.15</v>
      </c>
      <c r="G112" s="2">
        <f>Cleaned_Prepared_Data!F112</f>
        <v>5686</v>
      </c>
      <c r="H112" s="2">
        <f>Cleaned_Prepared_Data!G112</f>
        <v>8.8999999999999996E-2</v>
      </c>
      <c r="I112" s="2">
        <f>Cleaned_Prepared_Data!H112</f>
        <v>13</v>
      </c>
      <c r="J112" s="2">
        <f>Cleaned_Prepared_Data!I112</f>
        <v>89.9</v>
      </c>
      <c r="K112" s="2">
        <f>Cleaned_Prepared_Data!K112</f>
        <v>0</v>
      </c>
      <c r="L112" s="2">
        <f>Cleaned_Prepared_Data!L112</f>
        <v>4.2</v>
      </c>
      <c r="M112" s="2">
        <f t="shared" si="3"/>
        <v>0</v>
      </c>
      <c r="N112" s="2">
        <f t="shared" si="4"/>
        <v>0</v>
      </c>
      <c r="O112" s="2">
        <f t="shared" si="5"/>
        <v>1</v>
      </c>
    </row>
    <row r="113" spans="1:15" x14ac:dyDescent="0.35">
      <c r="A113" s="2" t="str">
        <f>Cleaned_Prepared_Data!A113</f>
        <v>STR-1028</v>
      </c>
      <c r="B113" s="2" t="str">
        <f>Cleaned_Prepared_Data!P113</f>
        <v>2025-04</v>
      </c>
      <c r="C113" s="2" t="str">
        <f>Cleaned_Prepared_Data!C113</f>
        <v>East</v>
      </c>
      <c r="D113" s="2" t="str">
        <f>Cleaned_Prepared_Data!D113</f>
        <v>Mall</v>
      </c>
      <c r="E113" s="2">
        <f>Cleaned_Prepared_Data!M113</f>
        <v>713611.16</v>
      </c>
      <c r="F113" s="2">
        <f>Cleaned_Prepared_Data!E113</f>
        <v>52758.01</v>
      </c>
      <c r="G113" s="2">
        <f>Cleaned_Prepared_Data!F113</f>
        <v>4063</v>
      </c>
      <c r="H113" s="2">
        <f>Cleaned_Prepared_Data!G113</f>
        <v>5.7000000000000002E-2</v>
      </c>
      <c r="I113" s="2">
        <f>Cleaned_Prepared_Data!H113</f>
        <v>12</v>
      </c>
      <c r="J113" s="2">
        <f>Cleaned_Prepared_Data!I113</f>
        <v>91.7</v>
      </c>
      <c r="K113" s="2">
        <f>Cleaned_Prepared_Data!K113</f>
        <v>0</v>
      </c>
      <c r="L113" s="2">
        <f>Cleaned_Prepared_Data!L113</f>
        <v>3.5</v>
      </c>
      <c r="M113" s="2">
        <f t="shared" si="3"/>
        <v>0</v>
      </c>
      <c r="N113" s="2">
        <f t="shared" si="4"/>
        <v>0</v>
      </c>
      <c r="O113" s="2">
        <f t="shared" si="5"/>
        <v>1</v>
      </c>
    </row>
    <row r="114" spans="1:15" x14ac:dyDescent="0.35">
      <c r="A114" s="2" t="str">
        <f>Cleaned_Prepared_Data!A114</f>
        <v>STR-1029</v>
      </c>
      <c r="B114" s="2" t="str">
        <f>Cleaned_Prepared_Data!P114</f>
        <v>2025-01</v>
      </c>
      <c r="C114" s="2" t="str">
        <f>Cleaned_Prepared_Data!C114</f>
        <v>West</v>
      </c>
      <c r="D114" s="2" t="str">
        <f>Cleaned_Prepared_Data!D114</f>
        <v>Mall</v>
      </c>
      <c r="E114" s="2">
        <f>Cleaned_Prepared_Data!M114</f>
        <v>778397.97</v>
      </c>
      <c r="F114" s="2">
        <f>Cleaned_Prepared_Data!E114</f>
        <v>61426.04</v>
      </c>
      <c r="G114" s="2">
        <f>Cleaned_Prepared_Data!F114</f>
        <v>8966</v>
      </c>
      <c r="H114" s="2">
        <f>Cleaned_Prepared_Data!G114</f>
        <v>0.17299999999999999</v>
      </c>
      <c r="I114" s="2">
        <f>Cleaned_Prepared_Data!H114</f>
        <v>22</v>
      </c>
      <c r="J114" s="2">
        <f>Cleaned_Prepared_Data!I114</f>
        <v>76.400000000000006</v>
      </c>
      <c r="K114" s="2">
        <f>Cleaned_Prepared_Data!K114</f>
        <v>0</v>
      </c>
      <c r="L114" s="2">
        <f>Cleaned_Prepared_Data!L114</f>
        <v>3.1</v>
      </c>
      <c r="M114" s="2">
        <f t="shared" si="3"/>
        <v>0</v>
      </c>
      <c r="N114" s="2">
        <f t="shared" si="4"/>
        <v>0</v>
      </c>
      <c r="O114" s="2">
        <f t="shared" si="5"/>
        <v>1</v>
      </c>
    </row>
    <row r="115" spans="1:15" x14ac:dyDescent="0.35">
      <c r="A115" s="2" t="str">
        <f>Cleaned_Prepared_Data!A115</f>
        <v>STR-1029</v>
      </c>
      <c r="B115" s="2" t="str">
        <f>Cleaned_Prepared_Data!P115</f>
        <v>2025-02</v>
      </c>
      <c r="C115" s="2" t="str">
        <f>Cleaned_Prepared_Data!C115</f>
        <v>West</v>
      </c>
      <c r="D115" s="2" t="str">
        <f>Cleaned_Prepared_Data!D115</f>
        <v>Mall</v>
      </c>
      <c r="E115" s="2">
        <f>Cleaned_Prepared_Data!M115</f>
        <v>873380.02</v>
      </c>
      <c r="F115" s="2">
        <f>Cleaned_Prepared_Data!E115</f>
        <v>80176.34</v>
      </c>
      <c r="G115" s="2">
        <f>Cleaned_Prepared_Data!F115</f>
        <v>9489</v>
      </c>
      <c r="H115" s="2">
        <f>Cleaned_Prepared_Data!G115</f>
        <v>0.14199999999999999</v>
      </c>
      <c r="I115" s="2">
        <f>Cleaned_Prepared_Data!H115</f>
        <v>22</v>
      </c>
      <c r="J115" s="2">
        <f>Cleaned_Prepared_Data!I115</f>
        <v>94.3</v>
      </c>
      <c r="K115" s="2">
        <f>Cleaned_Prepared_Data!K115</f>
        <v>0</v>
      </c>
      <c r="L115" s="2">
        <f>Cleaned_Prepared_Data!L115</f>
        <v>3.5</v>
      </c>
      <c r="M115" s="2">
        <f t="shared" si="3"/>
        <v>0</v>
      </c>
      <c r="N115" s="2">
        <f t="shared" si="4"/>
        <v>0</v>
      </c>
      <c r="O115" s="2">
        <f t="shared" si="5"/>
        <v>1</v>
      </c>
    </row>
    <row r="116" spans="1:15" x14ac:dyDescent="0.35">
      <c r="A116" s="2" t="str">
        <f>Cleaned_Prepared_Data!A116</f>
        <v>STR-1029</v>
      </c>
      <c r="B116" s="2" t="str">
        <f>Cleaned_Prepared_Data!P116</f>
        <v>2025-03</v>
      </c>
      <c r="C116" s="2" t="str">
        <f>Cleaned_Prepared_Data!C116</f>
        <v>West</v>
      </c>
      <c r="D116" s="2" t="str">
        <f>Cleaned_Prepared_Data!D116</f>
        <v>Mall</v>
      </c>
      <c r="E116" s="2">
        <f>Cleaned_Prepared_Data!M116</f>
        <v>697287.9</v>
      </c>
      <c r="F116" s="2">
        <f>Cleaned_Prepared_Data!E116</f>
        <v>33605.18</v>
      </c>
      <c r="G116" s="2">
        <f>Cleaned_Prepared_Data!F116</f>
        <v>9225</v>
      </c>
      <c r="H116" s="2">
        <f>Cleaned_Prepared_Data!G116</f>
        <v>0.159</v>
      </c>
      <c r="I116" s="2">
        <f>Cleaned_Prepared_Data!H116</f>
        <v>23</v>
      </c>
      <c r="J116" s="2">
        <f>Cleaned_Prepared_Data!I116</f>
        <v>88.4</v>
      </c>
      <c r="K116" s="2">
        <f>Cleaned_Prepared_Data!K116</f>
        <v>0</v>
      </c>
      <c r="L116" s="2">
        <f>Cleaned_Prepared_Data!L116</f>
        <v>2.8</v>
      </c>
      <c r="M116" s="2">
        <f t="shared" si="3"/>
        <v>0</v>
      </c>
      <c r="N116" s="2">
        <f t="shared" si="4"/>
        <v>0</v>
      </c>
      <c r="O116" s="2">
        <f t="shared" si="5"/>
        <v>1</v>
      </c>
    </row>
    <row r="117" spans="1:15" x14ac:dyDescent="0.35">
      <c r="A117" s="2" t="str">
        <f>Cleaned_Prepared_Data!A117</f>
        <v>STR-1029</v>
      </c>
      <c r="B117" s="2" t="str">
        <f>Cleaned_Prepared_Data!P117</f>
        <v>2025-04</v>
      </c>
      <c r="C117" s="2" t="str">
        <f>Cleaned_Prepared_Data!C117</f>
        <v>West</v>
      </c>
      <c r="D117" s="2" t="str">
        <f>Cleaned_Prepared_Data!D117</f>
        <v>Mall</v>
      </c>
      <c r="E117" s="2">
        <f>Cleaned_Prepared_Data!M117</f>
        <v>718074.79</v>
      </c>
      <c r="F117" s="2">
        <f>Cleaned_Prepared_Data!E117</f>
        <v>25990.54</v>
      </c>
      <c r="G117" s="2">
        <f>Cleaned_Prepared_Data!F117</f>
        <v>9249</v>
      </c>
      <c r="H117" s="2">
        <f>Cleaned_Prepared_Data!G117</f>
        <v>0.13900000000000001</v>
      </c>
      <c r="I117" s="2">
        <f>Cleaned_Prepared_Data!H117</f>
        <v>23</v>
      </c>
      <c r="J117" s="2">
        <f>Cleaned_Prepared_Data!I117</f>
        <v>92.5</v>
      </c>
      <c r="K117" s="2">
        <f>Cleaned_Prepared_Data!K117</f>
        <v>0</v>
      </c>
      <c r="L117" s="2">
        <f>Cleaned_Prepared_Data!L117</f>
        <v>3.3</v>
      </c>
      <c r="M117" s="2">
        <f t="shared" si="3"/>
        <v>0</v>
      </c>
      <c r="N117" s="2">
        <f t="shared" si="4"/>
        <v>0</v>
      </c>
      <c r="O117" s="2">
        <f t="shared" si="5"/>
        <v>1</v>
      </c>
    </row>
    <row r="118" spans="1:15" x14ac:dyDescent="0.35">
      <c r="A118" s="2" t="str">
        <f>Cleaned_Prepared_Data!A118</f>
        <v>STR-1030</v>
      </c>
      <c r="B118" s="2" t="str">
        <f>Cleaned_Prepared_Data!P118</f>
        <v>2025-01</v>
      </c>
      <c r="C118" s="2" t="str">
        <f>Cleaned_Prepared_Data!C118</f>
        <v>West</v>
      </c>
      <c r="D118" s="2" t="str">
        <f>Cleaned_Prepared_Data!D118</f>
        <v>Residential</v>
      </c>
      <c r="E118" s="2">
        <f>Cleaned_Prepared_Data!M118</f>
        <v>714942.43</v>
      </c>
      <c r="F118" s="2">
        <f>Cleaned_Prepared_Data!E118</f>
        <v>43685.14</v>
      </c>
      <c r="G118" s="2">
        <f>Cleaned_Prepared_Data!F118</f>
        <v>7821</v>
      </c>
      <c r="H118" s="2">
        <f>Cleaned_Prepared_Data!G118</f>
        <v>0.19</v>
      </c>
      <c r="I118" s="2">
        <f>Cleaned_Prepared_Data!H118</f>
        <v>17</v>
      </c>
      <c r="J118" s="2">
        <f>Cleaned_Prepared_Data!I118</f>
        <v>91</v>
      </c>
      <c r="K118" s="2">
        <f>Cleaned_Prepared_Data!K118</f>
        <v>1</v>
      </c>
      <c r="L118" s="2">
        <f>Cleaned_Prepared_Data!L118</f>
        <v>4.7</v>
      </c>
      <c r="M118" s="2">
        <f t="shared" si="3"/>
        <v>0</v>
      </c>
      <c r="N118" s="2">
        <f t="shared" si="4"/>
        <v>0</v>
      </c>
      <c r="O118" s="2">
        <f t="shared" si="5"/>
        <v>0</v>
      </c>
    </row>
    <row r="119" spans="1:15" x14ac:dyDescent="0.35">
      <c r="A119" s="2" t="str">
        <f>Cleaned_Prepared_Data!A119</f>
        <v>STR-1030</v>
      </c>
      <c r="B119" s="2" t="str">
        <f>Cleaned_Prepared_Data!P119</f>
        <v>2025-02</v>
      </c>
      <c r="C119" s="2" t="str">
        <f>Cleaned_Prepared_Data!C119</f>
        <v>West</v>
      </c>
      <c r="D119" s="2" t="str">
        <f>Cleaned_Prepared_Data!D119</f>
        <v>Residential</v>
      </c>
      <c r="E119" s="2">
        <f>Cleaned_Prepared_Data!M119</f>
        <v>820519.04</v>
      </c>
      <c r="F119" s="2">
        <f>Cleaned_Prepared_Data!E119</f>
        <v>57360.01</v>
      </c>
      <c r="G119" s="2">
        <f>Cleaned_Prepared_Data!F119</f>
        <v>8434</v>
      </c>
      <c r="H119" s="2">
        <f>Cleaned_Prepared_Data!G119</f>
        <v>0.151</v>
      </c>
      <c r="I119" s="2">
        <f>Cleaned_Prepared_Data!H119</f>
        <v>19</v>
      </c>
      <c r="J119" s="2">
        <f>Cleaned_Prepared_Data!I119</f>
        <v>84.1</v>
      </c>
      <c r="K119" s="2">
        <f>Cleaned_Prepared_Data!K119</f>
        <v>0</v>
      </c>
      <c r="L119" s="2">
        <f>Cleaned_Prepared_Data!L119</f>
        <v>4.7</v>
      </c>
      <c r="M119" s="2">
        <f t="shared" si="3"/>
        <v>0</v>
      </c>
      <c r="N119" s="2">
        <f t="shared" si="4"/>
        <v>0</v>
      </c>
      <c r="O119" s="2">
        <f t="shared" si="5"/>
        <v>0</v>
      </c>
    </row>
    <row r="120" spans="1:15" x14ac:dyDescent="0.35">
      <c r="A120" s="2" t="str">
        <f>Cleaned_Prepared_Data!A120</f>
        <v>STR-1030</v>
      </c>
      <c r="B120" s="2" t="str">
        <f>Cleaned_Prepared_Data!P120</f>
        <v>2025-03</v>
      </c>
      <c r="C120" s="2" t="str">
        <f>Cleaned_Prepared_Data!C120</f>
        <v>West</v>
      </c>
      <c r="D120" s="2" t="str">
        <f>Cleaned_Prepared_Data!D120</f>
        <v>Residential</v>
      </c>
      <c r="E120" s="2">
        <f>Cleaned_Prepared_Data!M120</f>
        <v>684217.32</v>
      </c>
      <c r="F120" s="2">
        <f>Cleaned_Prepared_Data!E120</f>
        <v>42415.47</v>
      </c>
      <c r="G120" s="2">
        <f>Cleaned_Prepared_Data!F120</f>
        <v>8512</v>
      </c>
      <c r="H120" s="2">
        <f>Cleaned_Prepared_Data!G120</f>
        <v>0.13300000000000001</v>
      </c>
      <c r="I120" s="2">
        <f>Cleaned_Prepared_Data!H120</f>
        <v>18</v>
      </c>
      <c r="J120" s="2">
        <f>Cleaned_Prepared_Data!I120</f>
        <v>96.8</v>
      </c>
      <c r="K120" s="2">
        <f>Cleaned_Prepared_Data!K120</f>
        <v>0</v>
      </c>
      <c r="L120" s="2">
        <f>Cleaned_Prepared_Data!L120</f>
        <v>4.5999999999999996</v>
      </c>
      <c r="M120" s="2">
        <f t="shared" si="3"/>
        <v>0</v>
      </c>
      <c r="N120" s="2">
        <f t="shared" si="4"/>
        <v>0</v>
      </c>
      <c r="O120" s="2">
        <f t="shared" si="5"/>
        <v>0</v>
      </c>
    </row>
    <row r="121" spans="1:15" x14ac:dyDescent="0.35">
      <c r="A121" s="2" t="str">
        <f>Cleaned_Prepared_Data!A121</f>
        <v>STR-1030</v>
      </c>
      <c r="B121" s="2" t="str">
        <f>Cleaned_Prepared_Data!P121</f>
        <v>2025-04</v>
      </c>
      <c r="C121" s="2" t="str">
        <f>Cleaned_Prepared_Data!C121</f>
        <v>West</v>
      </c>
      <c r="D121" s="2" t="str">
        <f>Cleaned_Prepared_Data!D121</f>
        <v>Residential</v>
      </c>
      <c r="E121" s="2">
        <f>Cleaned_Prepared_Data!M121</f>
        <v>735480.19</v>
      </c>
      <c r="F121" s="2">
        <f>Cleaned_Prepared_Data!E121</f>
        <v>54968.98</v>
      </c>
      <c r="G121" s="2">
        <f>Cleaned_Prepared_Data!F121</f>
        <v>7816</v>
      </c>
      <c r="H121" s="2">
        <f>Cleaned_Prepared_Data!G121</f>
        <v>0.23200000000000001</v>
      </c>
      <c r="I121" s="2">
        <f>Cleaned_Prepared_Data!H121</f>
        <v>19</v>
      </c>
      <c r="J121" s="2">
        <f>Cleaned_Prepared_Data!I121</f>
        <v>95.7</v>
      </c>
      <c r="K121" s="2">
        <f>Cleaned_Prepared_Data!K121</f>
        <v>0</v>
      </c>
      <c r="L121" s="2">
        <f>Cleaned_Prepared_Data!L121</f>
        <v>4.7</v>
      </c>
      <c r="M121" s="2">
        <f t="shared" si="3"/>
        <v>0</v>
      </c>
      <c r="N121" s="2">
        <f t="shared" si="4"/>
        <v>0</v>
      </c>
      <c r="O121" s="2">
        <f t="shared" si="5"/>
        <v>0</v>
      </c>
    </row>
    <row r="122" spans="1:15" x14ac:dyDescent="0.35">
      <c r="A122" s="2" t="str">
        <f>Cleaned_Prepared_Data!A122</f>
        <v>STR-1031</v>
      </c>
      <c r="B122" s="2" t="str">
        <f>Cleaned_Prepared_Data!P122</f>
        <v>2025-01</v>
      </c>
      <c r="C122" s="2" t="str">
        <f>Cleaned_Prepared_Data!C122</f>
        <v>North</v>
      </c>
      <c r="D122" s="2" t="str">
        <f>Cleaned_Prepared_Data!D122</f>
        <v>High Street</v>
      </c>
      <c r="E122" s="2">
        <f>Cleaned_Prepared_Data!M122</f>
        <v>509484.81</v>
      </c>
      <c r="F122" s="2">
        <f>Cleaned_Prepared_Data!E122</f>
        <v>43896.13</v>
      </c>
      <c r="G122" s="2">
        <f>Cleaned_Prepared_Data!F122</f>
        <v>3853</v>
      </c>
      <c r="H122" s="2">
        <f>Cleaned_Prepared_Data!G122</f>
        <v>8.7999999999999995E-2</v>
      </c>
      <c r="I122" s="2">
        <f>Cleaned_Prepared_Data!H122</f>
        <v>13</v>
      </c>
      <c r="J122" s="2">
        <f>Cleaned_Prepared_Data!I122</f>
        <v>83</v>
      </c>
      <c r="K122" s="2">
        <f>Cleaned_Prepared_Data!K122</f>
        <v>0</v>
      </c>
      <c r="L122" s="2">
        <f>Cleaned_Prepared_Data!L122</f>
        <v>4.4000000000000004</v>
      </c>
      <c r="M122" s="2">
        <f t="shared" si="3"/>
        <v>0</v>
      </c>
      <c r="N122" s="2">
        <f t="shared" si="4"/>
        <v>1</v>
      </c>
      <c r="O122" s="2">
        <f t="shared" si="5"/>
        <v>0</v>
      </c>
    </row>
    <row r="123" spans="1:15" x14ac:dyDescent="0.35">
      <c r="A123" s="2" t="str">
        <f>Cleaned_Prepared_Data!A123</f>
        <v>STR-1031</v>
      </c>
      <c r="B123" s="2" t="str">
        <f>Cleaned_Prepared_Data!P123</f>
        <v>2025-02</v>
      </c>
      <c r="C123" s="2" t="str">
        <f>Cleaned_Prepared_Data!C123</f>
        <v>North</v>
      </c>
      <c r="D123" s="2" t="str">
        <f>Cleaned_Prepared_Data!D123</f>
        <v>High Street</v>
      </c>
      <c r="E123" s="2">
        <f>Cleaned_Prepared_Data!M123</f>
        <v>654317.09</v>
      </c>
      <c r="F123" s="2">
        <f>Cleaned_Prepared_Data!E123</f>
        <v>83044.17</v>
      </c>
      <c r="G123" s="2">
        <f>Cleaned_Prepared_Data!F123</f>
        <v>3694</v>
      </c>
      <c r="H123" s="2">
        <f>Cleaned_Prepared_Data!G123</f>
        <v>0</v>
      </c>
      <c r="I123" s="2">
        <f>Cleaned_Prepared_Data!H123</f>
        <v>14</v>
      </c>
      <c r="J123" s="2">
        <f>Cleaned_Prepared_Data!I123</f>
        <v>89.4</v>
      </c>
      <c r="K123" s="2">
        <f>Cleaned_Prepared_Data!K123</f>
        <v>0</v>
      </c>
      <c r="L123" s="2">
        <f>Cleaned_Prepared_Data!L123</f>
        <v>3.7</v>
      </c>
      <c r="M123" s="2">
        <f t="shared" si="3"/>
        <v>0</v>
      </c>
      <c r="N123" s="2">
        <f t="shared" si="4"/>
        <v>1</v>
      </c>
      <c r="O123" s="2">
        <f t="shared" si="5"/>
        <v>0</v>
      </c>
    </row>
    <row r="124" spans="1:15" x14ac:dyDescent="0.35">
      <c r="A124" s="2" t="str">
        <f>Cleaned_Prepared_Data!A124</f>
        <v>STR-1031</v>
      </c>
      <c r="B124" s="2" t="str">
        <f>Cleaned_Prepared_Data!P124</f>
        <v>2025-03</v>
      </c>
      <c r="C124" s="2" t="str">
        <f>Cleaned_Prepared_Data!C124</f>
        <v>North</v>
      </c>
      <c r="D124" s="2" t="str">
        <f>Cleaned_Prepared_Data!D124</f>
        <v>High Street</v>
      </c>
      <c r="E124" s="2">
        <f>Cleaned_Prepared_Data!M124</f>
        <v>557487.26</v>
      </c>
      <c r="F124" s="2">
        <f>Cleaned_Prepared_Data!E124</f>
        <v>48396.13</v>
      </c>
      <c r="G124" s="2">
        <f>Cleaned_Prepared_Data!F124</f>
        <v>4423</v>
      </c>
      <c r="H124" s="2">
        <f>Cleaned_Prepared_Data!G124</f>
        <v>6.9000000000000006E-2</v>
      </c>
      <c r="I124" s="2">
        <f>Cleaned_Prepared_Data!H124</f>
        <v>15</v>
      </c>
      <c r="J124" s="2">
        <f>Cleaned_Prepared_Data!I124</f>
        <v>85.7</v>
      </c>
      <c r="K124" s="2">
        <f>Cleaned_Prepared_Data!K124</f>
        <v>0</v>
      </c>
      <c r="L124" s="2">
        <f>Cleaned_Prepared_Data!L124</f>
        <v>3.9</v>
      </c>
      <c r="M124" s="2">
        <f t="shared" si="3"/>
        <v>0</v>
      </c>
      <c r="N124" s="2">
        <f t="shared" si="4"/>
        <v>1</v>
      </c>
      <c r="O124" s="2">
        <f t="shared" si="5"/>
        <v>0</v>
      </c>
    </row>
    <row r="125" spans="1:15" x14ac:dyDescent="0.35">
      <c r="A125" s="2" t="str">
        <f>Cleaned_Prepared_Data!A125</f>
        <v>STR-1031</v>
      </c>
      <c r="B125" s="2" t="str">
        <f>Cleaned_Prepared_Data!P125</f>
        <v>2025-04</v>
      </c>
      <c r="C125" s="2" t="str">
        <f>Cleaned_Prepared_Data!C125</f>
        <v>North</v>
      </c>
      <c r="D125" s="2" t="str">
        <f>Cleaned_Prepared_Data!D125</f>
        <v>High Street</v>
      </c>
      <c r="E125" s="2">
        <f>Cleaned_Prepared_Data!M125</f>
        <v>441275.42</v>
      </c>
      <c r="F125" s="2">
        <f>Cleaned_Prepared_Data!E125</f>
        <v>19063.48</v>
      </c>
      <c r="G125" s="2">
        <f>Cleaned_Prepared_Data!F125</f>
        <v>1906</v>
      </c>
      <c r="H125" s="2">
        <f>Cleaned_Prepared_Data!G125</f>
        <v>0.216</v>
      </c>
      <c r="I125" s="2">
        <f>Cleaned_Prepared_Data!H125</f>
        <v>10</v>
      </c>
      <c r="J125" s="2">
        <f>Cleaned_Prepared_Data!I125</f>
        <v>97.8</v>
      </c>
      <c r="K125" s="2">
        <f>Cleaned_Prepared_Data!K125</f>
        <v>0</v>
      </c>
      <c r="L125" s="2">
        <f>Cleaned_Prepared_Data!L125</f>
        <v>4.4000000000000004</v>
      </c>
      <c r="M125" s="2">
        <f t="shared" si="3"/>
        <v>0</v>
      </c>
      <c r="N125" s="2">
        <f t="shared" si="4"/>
        <v>1</v>
      </c>
      <c r="O125" s="2">
        <f t="shared" si="5"/>
        <v>0</v>
      </c>
    </row>
    <row r="126" spans="1:15" x14ac:dyDescent="0.35">
      <c r="A126" s="2" t="str">
        <f>Cleaned_Prepared_Data!A126</f>
        <v>STR-1032</v>
      </c>
      <c r="B126" s="2" t="str">
        <f>Cleaned_Prepared_Data!P126</f>
        <v>2025-01</v>
      </c>
      <c r="C126" s="2" t="str">
        <f>Cleaned_Prepared_Data!C126</f>
        <v>South</v>
      </c>
      <c r="D126" s="2" t="str">
        <f>Cleaned_Prepared_Data!D126</f>
        <v>High Street</v>
      </c>
      <c r="E126" s="2">
        <f>Cleaned_Prepared_Data!M126</f>
        <v>914544.17</v>
      </c>
      <c r="F126" s="2">
        <f>Cleaned_Prepared_Data!E126</f>
        <v>61541.21</v>
      </c>
      <c r="G126" s="2">
        <f>Cleaned_Prepared_Data!F126</f>
        <v>10396</v>
      </c>
      <c r="H126" s="2">
        <f>Cleaned_Prepared_Data!G126</f>
        <v>0.123</v>
      </c>
      <c r="I126" s="2">
        <f>Cleaned_Prepared_Data!H126</f>
        <v>25</v>
      </c>
      <c r="J126" s="2">
        <f>Cleaned_Prepared_Data!I126</f>
        <v>88.1</v>
      </c>
      <c r="K126" s="2">
        <f>Cleaned_Prepared_Data!K126</f>
        <v>1</v>
      </c>
      <c r="L126" s="2">
        <f>Cleaned_Prepared_Data!L126</f>
        <v>4.8</v>
      </c>
      <c r="M126" s="2">
        <f t="shared" si="3"/>
        <v>0</v>
      </c>
      <c r="N126" s="2">
        <f t="shared" si="4"/>
        <v>1</v>
      </c>
      <c r="O126" s="2">
        <f t="shared" si="5"/>
        <v>0</v>
      </c>
    </row>
    <row r="127" spans="1:15" x14ac:dyDescent="0.35">
      <c r="A127" s="2" t="str">
        <f>Cleaned_Prepared_Data!A127</f>
        <v>STR-1032</v>
      </c>
      <c r="B127" s="2" t="str">
        <f>Cleaned_Prepared_Data!P127</f>
        <v>2025-02</v>
      </c>
      <c r="C127" s="2" t="str">
        <f>Cleaned_Prepared_Data!C127</f>
        <v>South</v>
      </c>
      <c r="D127" s="2" t="str">
        <f>Cleaned_Prepared_Data!D127</f>
        <v>High Street</v>
      </c>
      <c r="E127" s="2">
        <f>Cleaned_Prepared_Data!M127</f>
        <v>842439.67</v>
      </c>
      <c r="F127" s="2">
        <f>Cleaned_Prepared_Data!E127</f>
        <v>44747</v>
      </c>
      <c r="G127" s="2">
        <f>Cleaned_Prepared_Data!F127</f>
        <v>11076</v>
      </c>
      <c r="H127" s="2">
        <f>Cleaned_Prepared_Data!G127</f>
        <v>0.17599999999999999</v>
      </c>
      <c r="I127" s="2">
        <f>Cleaned_Prepared_Data!H127</f>
        <v>27</v>
      </c>
      <c r="J127" s="2">
        <f>Cleaned_Prepared_Data!I127</f>
        <v>98.3</v>
      </c>
      <c r="K127" s="2">
        <f>Cleaned_Prepared_Data!K127</f>
        <v>0</v>
      </c>
      <c r="L127" s="2">
        <f>Cleaned_Prepared_Data!L127</f>
        <v>4.4000000000000004</v>
      </c>
      <c r="M127" s="2">
        <f t="shared" si="3"/>
        <v>0</v>
      </c>
      <c r="N127" s="2">
        <f t="shared" si="4"/>
        <v>1</v>
      </c>
      <c r="O127" s="2">
        <f t="shared" si="5"/>
        <v>0</v>
      </c>
    </row>
    <row r="128" spans="1:15" x14ac:dyDescent="0.35">
      <c r="A128" s="2" t="str">
        <f>Cleaned_Prepared_Data!A128</f>
        <v>STR-1032</v>
      </c>
      <c r="B128" s="2" t="str">
        <f>Cleaned_Prepared_Data!P128</f>
        <v>2025-03</v>
      </c>
      <c r="C128" s="2" t="str">
        <f>Cleaned_Prepared_Data!C128</f>
        <v>South</v>
      </c>
      <c r="D128" s="2" t="str">
        <f>Cleaned_Prepared_Data!D128</f>
        <v>High Street</v>
      </c>
      <c r="E128" s="2">
        <f>Cleaned_Prepared_Data!M128</f>
        <v>842157.92</v>
      </c>
      <c r="F128" s="2">
        <f>Cleaned_Prepared_Data!E128</f>
        <v>56517.9</v>
      </c>
      <c r="G128" s="2">
        <f>Cleaned_Prepared_Data!F128</f>
        <v>9574</v>
      </c>
      <c r="H128" s="2">
        <f>Cleaned_Prepared_Data!G128</f>
        <v>0.20399999999999999</v>
      </c>
      <c r="I128" s="2">
        <f>Cleaned_Prepared_Data!H128</f>
        <v>20</v>
      </c>
      <c r="J128" s="2">
        <f>Cleaned_Prepared_Data!I128</f>
        <v>88.2</v>
      </c>
      <c r="K128" s="2">
        <f>Cleaned_Prepared_Data!K128</f>
        <v>1</v>
      </c>
      <c r="L128" s="2">
        <f>Cleaned_Prepared_Data!L128</f>
        <v>4.9000000000000004</v>
      </c>
      <c r="M128" s="2">
        <f t="shared" si="3"/>
        <v>0</v>
      </c>
      <c r="N128" s="2">
        <f t="shared" si="4"/>
        <v>1</v>
      </c>
      <c r="O128" s="2">
        <f t="shared" si="5"/>
        <v>0</v>
      </c>
    </row>
    <row r="129" spans="1:15" x14ac:dyDescent="0.35">
      <c r="A129" s="2" t="str">
        <f>Cleaned_Prepared_Data!A129</f>
        <v>STR-1032</v>
      </c>
      <c r="B129" s="2" t="str">
        <f>Cleaned_Prepared_Data!P129</f>
        <v>2025-04</v>
      </c>
      <c r="C129" s="2" t="str">
        <f>Cleaned_Prepared_Data!C129</f>
        <v>South</v>
      </c>
      <c r="D129" s="2" t="str">
        <f>Cleaned_Prepared_Data!D129</f>
        <v>High Street</v>
      </c>
      <c r="E129" s="2">
        <f>Cleaned_Prepared_Data!M129</f>
        <v>697155.3</v>
      </c>
      <c r="F129" s="2">
        <f>Cleaned_Prepared_Data!E129</f>
        <v>37828.5</v>
      </c>
      <c r="G129" s="2">
        <f>Cleaned_Prepared_Data!F129</f>
        <v>8221</v>
      </c>
      <c r="H129" s="2">
        <f>Cleaned_Prepared_Data!G129</f>
        <v>9.6000000000000002E-2</v>
      </c>
      <c r="I129" s="2">
        <f>Cleaned_Prepared_Data!H129</f>
        <v>19</v>
      </c>
      <c r="J129" s="2">
        <f>Cleaned_Prepared_Data!I129</f>
        <v>81.5</v>
      </c>
      <c r="K129" s="2">
        <f>Cleaned_Prepared_Data!K129</f>
        <v>0</v>
      </c>
      <c r="L129" s="2">
        <f>Cleaned_Prepared_Data!L129</f>
        <v>4.8</v>
      </c>
      <c r="M129" s="2">
        <f t="shared" si="3"/>
        <v>0</v>
      </c>
      <c r="N129" s="2">
        <f t="shared" si="4"/>
        <v>1</v>
      </c>
      <c r="O129" s="2">
        <f t="shared" si="5"/>
        <v>0</v>
      </c>
    </row>
    <row r="130" spans="1:15" x14ac:dyDescent="0.35">
      <c r="A130" s="2" t="str">
        <f>Cleaned_Prepared_Data!A130</f>
        <v>STR-1033</v>
      </c>
      <c r="B130" s="2" t="str">
        <f>Cleaned_Prepared_Data!P130</f>
        <v>2025-01</v>
      </c>
      <c r="C130" s="2" t="str">
        <f>Cleaned_Prepared_Data!C130</f>
        <v>East</v>
      </c>
      <c r="D130" s="2" t="str">
        <f>Cleaned_Prepared_Data!D130</f>
        <v>High Street</v>
      </c>
      <c r="E130" s="2">
        <f>Cleaned_Prepared_Data!M130</f>
        <v>849018.3</v>
      </c>
      <c r="F130" s="2">
        <f>Cleaned_Prepared_Data!E130</f>
        <v>66250.53</v>
      </c>
      <c r="G130" s="2">
        <f>Cleaned_Prepared_Data!F130</f>
        <v>10618</v>
      </c>
      <c r="H130" s="2">
        <f>Cleaned_Prepared_Data!G130</f>
        <v>0.14199999999999999</v>
      </c>
      <c r="I130" s="2">
        <f>Cleaned_Prepared_Data!H130</f>
        <v>27</v>
      </c>
      <c r="J130" s="2">
        <f>Cleaned_Prepared_Data!I130</f>
        <v>88.3</v>
      </c>
      <c r="K130" s="2">
        <f>Cleaned_Prepared_Data!K130</f>
        <v>1</v>
      </c>
      <c r="L130" s="2">
        <f>Cleaned_Prepared_Data!L130</f>
        <v>4.4000000000000004</v>
      </c>
      <c r="M130" s="2">
        <f t="shared" ref="M130:M193" si="6">IF($D130="Airport",1,0)</f>
        <v>0</v>
      </c>
      <c r="N130" s="2">
        <f t="shared" ref="N130:N193" si="7">IF($D130="High Street",1,0)</f>
        <v>1</v>
      </c>
      <c r="O130" s="2">
        <f t="shared" ref="O130:O193" si="8">IF($D130="Mall",1,0)</f>
        <v>0</v>
      </c>
    </row>
    <row r="131" spans="1:15" x14ac:dyDescent="0.35">
      <c r="A131" s="2" t="str">
        <f>Cleaned_Prepared_Data!A131</f>
        <v>STR-1033</v>
      </c>
      <c r="B131" s="2" t="str">
        <f>Cleaned_Prepared_Data!P131</f>
        <v>2025-02</v>
      </c>
      <c r="C131" s="2" t="str">
        <f>Cleaned_Prepared_Data!C131</f>
        <v>East</v>
      </c>
      <c r="D131" s="2" t="str">
        <f>Cleaned_Prepared_Data!D131</f>
        <v>High Street</v>
      </c>
      <c r="E131" s="2">
        <f>Cleaned_Prepared_Data!M131</f>
        <v>801830.35</v>
      </c>
      <c r="F131" s="2">
        <f>Cleaned_Prepared_Data!E131</f>
        <v>68410.929999999993</v>
      </c>
      <c r="G131" s="2">
        <f>Cleaned_Prepared_Data!F131</f>
        <v>10596</v>
      </c>
      <c r="H131" s="2">
        <f>Cleaned_Prepared_Data!G131</f>
        <v>0.20699999999999999</v>
      </c>
      <c r="I131" s="2">
        <f>Cleaned_Prepared_Data!H131</f>
        <v>25</v>
      </c>
      <c r="J131" s="2">
        <f>Cleaned_Prepared_Data!I131</f>
        <v>81.2</v>
      </c>
      <c r="K131" s="2">
        <f>Cleaned_Prepared_Data!K131</f>
        <v>0</v>
      </c>
      <c r="L131" s="2">
        <f>Cleaned_Prepared_Data!L131</f>
        <v>4</v>
      </c>
      <c r="M131" s="2">
        <f t="shared" si="6"/>
        <v>0</v>
      </c>
      <c r="N131" s="2">
        <f t="shared" si="7"/>
        <v>1</v>
      </c>
      <c r="O131" s="2">
        <f t="shared" si="8"/>
        <v>0</v>
      </c>
    </row>
    <row r="132" spans="1:15" x14ac:dyDescent="0.35">
      <c r="A132" s="2" t="str">
        <f>Cleaned_Prepared_Data!A132</f>
        <v>STR-1033</v>
      </c>
      <c r="B132" s="2" t="str">
        <f>Cleaned_Prepared_Data!P132</f>
        <v>2025-03</v>
      </c>
      <c r="C132" s="2" t="str">
        <f>Cleaned_Prepared_Data!C132</f>
        <v>East</v>
      </c>
      <c r="D132" s="2" t="str">
        <f>Cleaned_Prepared_Data!D132</f>
        <v>High Street</v>
      </c>
      <c r="E132" s="2">
        <f>Cleaned_Prepared_Data!M132</f>
        <v>725235.28</v>
      </c>
      <c r="F132" s="2">
        <f>Cleaned_Prepared_Data!E132</f>
        <v>50735.63</v>
      </c>
      <c r="G132" s="2">
        <f>Cleaned_Prepared_Data!F132</f>
        <v>9619</v>
      </c>
      <c r="H132" s="2">
        <f>Cleaned_Prepared_Data!G132</f>
        <v>0.14399999999999999</v>
      </c>
      <c r="I132" s="2">
        <f>Cleaned_Prepared_Data!H132</f>
        <v>19</v>
      </c>
      <c r="J132" s="2">
        <f>Cleaned_Prepared_Data!I132</f>
        <v>93.8</v>
      </c>
      <c r="K132" s="2">
        <f>Cleaned_Prepared_Data!K132</f>
        <v>1</v>
      </c>
      <c r="L132" s="2">
        <f>Cleaned_Prepared_Data!L132</f>
        <v>4.5</v>
      </c>
      <c r="M132" s="2">
        <f t="shared" si="6"/>
        <v>0</v>
      </c>
      <c r="N132" s="2">
        <f t="shared" si="7"/>
        <v>1</v>
      </c>
      <c r="O132" s="2">
        <f t="shared" si="8"/>
        <v>0</v>
      </c>
    </row>
    <row r="133" spans="1:15" x14ac:dyDescent="0.35">
      <c r="A133" s="2" t="str">
        <f>Cleaned_Prepared_Data!A133</f>
        <v>STR-1033</v>
      </c>
      <c r="B133" s="2" t="str">
        <f>Cleaned_Prepared_Data!P133</f>
        <v>2025-04</v>
      </c>
      <c r="C133" s="2" t="str">
        <f>Cleaned_Prepared_Data!C133</f>
        <v>East</v>
      </c>
      <c r="D133" s="2" t="str">
        <f>Cleaned_Prepared_Data!D133</f>
        <v>High Street</v>
      </c>
      <c r="E133" s="2">
        <f>Cleaned_Prepared_Data!M133</f>
        <v>811452.72</v>
      </c>
      <c r="F133" s="2">
        <f>Cleaned_Prepared_Data!E133</f>
        <v>66455.8</v>
      </c>
      <c r="G133" s="2">
        <f>Cleaned_Prepared_Data!F133</f>
        <v>10836</v>
      </c>
      <c r="H133" s="2">
        <f>Cleaned_Prepared_Data!G133</f>
        <v>8.8999999999999996E-2</v>
      </c>
      <c r="I133" s="2">
        <f>Cleaned_Prepared_Data!H133</f>
        <v>25</v>
      </c>
      <c r="J133" s="2">
        <f>Cleaned_Prepared_Data!I133</f>
        <v>85</v>
      </c>
      <c r="K133" s="2">
        <f>Cleaned_Prepared_Data!K133</f>
        <v>0</v>
      </c>
      <c r="L133" s="2">
        <f>Cleaned_Prepared_Data!L133</f>
        <v>4.5</v>
      </c>
      <c r="M133" s="2">
        <f t="shared" si="6"/>
        <v>0</v>
      </c>
      <c r="N133" s="2">
        <f t="shared" si="7"/>
        <v>1</v>
      </c>
      <c r="O133" s="2">
        <f t="shared" si="8"/>
        <v>0</v>
      </c>
    </row>
    <row r="134" spans="1:15" x14ac:dyDescent="0.35">
      <c r="A134" s="2" t="str">
        <f>Cleaned_Prepared_Data!A134</f>
        <v>STR-1034</v>
      </c>
      <c r="B134" s="2" t="str">
        <f>Cleaned_Prepared_Data!P134</f>
        <v>2025-01</v>
      </c>
      <c r="C134" s="2" t="str">
        <f>Cleaned_Prepared_Data!C134</f>
        <v>North</v>
      </c>
      <c r="D134" s="2" t="str">
        <f>Cleaned_Prepared_Data!D134</f>
        <v>High Street</v>
      </c>
      <c r="E134" s="2">
        <f>Cleaned_Prepared_Data!M134</f>
        <v>527300.13</v>
      </c>
      <c r="F134" s="2">
        <f>Cleaned_Prepared_Data!E134</f>
        <v>70276.28</v>
      </c>
      <c r="G134" s="2">
        <f>Cleaned_Prepared_Data!F134</f>
        <v>3043</v>
      </c>
      <c r="H134" s="2">
        <f>Cleaned_Prepared_Data!G134</f>
        <v>7.9000000000000001E-2</v>
      </c>
      <c r="I134" s="2">
        <f>Cleaned_Prepared_Data!H134</f>
        <v>9</v>
      </c>
      <c r="J134" s="2">
        <f>Cleaned_Prepared_Data!I134</f>
        <v>87.9</v>
      </c>
      <c r="K134" s="2">
        <f>Cleaned_Prepared_Data!K134</f>
        <v>0</v>
      </c>
      <c r="L134" s="2">
        <f>Cleaned_Prepared_Data!L134</f>
        <v>4.4000000000000004</v>
      </c>
      <c r="M134" s="2">
        <f t="shared" si="6"/>
        <v>0</v>
      </c>
      <c r="N134" s="2">
        <f t="shared" si="7"/>
        <v>1</v>
      </c>
      <c r="O134" s="2">
        <f t="shared" si="8"/>
        <v>0</v>
      </c>
    </row>
    <row r="135" spans="1:15" x14ac:dyDescent="0.35">
      <c r="A135" s="2" t="str">
        <f>Cleaned_Prepared_Data!A135</f>
        <v>STR-1034</v>
      </c>
      <c r="B135" s="2" t="str">
        <f>Cleaned_Prepared_Data!P135</f>
        <v>2025-02</v>
      </c>
      <c r="C135" s="2" t="str">
        <f>Cleaned_Prepared_Data!C135</f>
        <v>North</v>
      </c>
      <c r="D135" s="2" t="str">
        <f>Cleaned_Prepared_Data!D135</f>
        <v>High Street</v>
      </c>
      <c r="E135" s="2">
        <f>Cleaned_Prepared_Data!M135</f>
        <v>400831.65</v>
      </c>
      <c r="F135" s="2">
        <f>Cleaned_Prepared_Data!E135</f>
        <v>22071.64</v>
      </c>
      <c r="G135" s="2">
        <f>Cleaned_Prepared_Data!F135</f>
        <v>1814</v>
      </c>
      <c r="H135" s="2">
        <f>Cleaned_Prepared_Data!G135</f>
        <v>0.19600000000000001</v>
      </c>
      <c r="I135" s="2">
        <f>Cleaned_Prepared_Data!H135</f>
        <v>8</v>
      </c>
      <c r="J135" s="2">
        <f>Cleaned_Prepared_Data!I135</f>
        <v>81.099999999999994</v>
      </c>
      <c r="K135" s="2">
        <f>Cleaned_Prepared_Data!K135</f>
        <v>0</v>
      </c>
      <c r="L135" s="2">
        <f>Cleaned_Prepared_Data!L135</f>
        <v>0</v>
      </c>
      <c r="M135" s="2">
        <f t="shared" si="6"/>
        <v>0</v>
      </c>
      <c r="N135" s="2">
        <f t="shared" si="7"/>
        <v>1</v>
      </c>
      <c r="O135" s="2">
        <f t="shared" si="8"/>
        <v>0</v>
      </c>
    </row>
    <row r="136" spans="1:15" x14ac:dyDescent="0.35">
      <c r="A136" s="2" t="str">
        <f>Cleaned_Prepared_Data!A136</f>
        <v>STR-1034</v>
      </c>
      <c r="B136" s="2" t="str">
        <f>Cleaned_Prepared_Data!P136</f>
        <v>2025-03</v>
      </c>
      <c r="C136" s="2" t="str">
        <f>Cleaned_Prepared_Data!C136</f>
        <v>North</v>
      </c>
      <c r="D136" s="2" t="str">
        <f>Cleaned_Prepared_Data!D136</f>
        <v>High Street</v>
      </c>
      <c r="E136" s="2">
        <f>Cleaned_Prepared_Data!M136</f>
        <v>593247.25</v>
      </c>
      <c r="F136" s="2">
        <f>Cleaned_Prepared_Data!E136</f>
        <v>52285.45</v>
      </c>
      <c r="G136" s="2">
        <f>Cleaned_Prepared_Data!F136</f>
        <v>3618</v>
      </c>
      <c r="H136" s="2">
        <f>Cleaned_Prepared_Data!G136</f>
        <v>8.5999999999999993E-2</v>
      </c>
      <c r="I136" s="2">
        <f>Cleaned_Prepared_Data!H136</f>
        <v>11</v>
      </c>
      <c r="J136" s="2">
        <f>Cleaned_Prepared_Data!I136</f>
        <v>95.6</v>
      </c>
      <c r="K136" s="2">
        <f>Cleaned_Prepared_Data!K136</f>
        <v>1</v>
      </c>
      <c r="L136" s="2">
        <f>Cleaned_Prepared_Data!L136</f>
        <v>4.4000000000000004</v>
      </c>
      <c r="M136" s="2">
        <f t="shared" si="6"/>
        <v>0</v>
      </c>
      <c r="N136" s="2">
        <f t="shared" si="7"/>
        <v>1</v>
      </c>
      <c r="O136" s="2">
        <f t="shared" si="8"/>
        <v>0</v>
      </c>
    </row>
    <row r="137" spans="1:15" x14ac:dyDescent="0.35">
      <c r="A137" s="2" t="str">
        <f>Cleaned_Prepared_Data!A137</f>
        <v>STR-1034</v>
      </c>
      <c r="B137" s="2" t="str">
        <f>Cleaned_Prepared_Data!P137</f>
        <v>2025-04</v>
      </c>
      <c r="C137" s="2" t="str">
        <f>Cleaned_Prepared_Data!C137</f>
        <v>North</v>
      </c>
      <c r="D137" s="2" t="str">
        <f>Cleaned_Prepared_Data!D137</f>
        <v>High Street</v>
      </c>
      <c r="E137" s="2">
        <f>Cleaned_Prepared_Data!M137</f>
        <v>529075.94999999995</v>
      </c>
      <c r="F137" s="2">
        <f>Cleaned_Prepared_Data!E137</f>
        <v>70366.759999999995</v>
      </c>
      <c r="G137" s="2">
        <f>Cleaned_Prepared_Data!F137</f>
        <v>1963</v>
      </c>
      <c r="H137" s="2">
        <f>Cleaned_Prepared_Data!G137</f>
        <v>0.182</v>
      </c>
      <c r="I137" s="2">
        <f>Cleaned_Prepared_Data!H137</f>
        <v>8</v>
      </c>
      <c r="J137" s="2">
        <f>Cleaned_Prepared_Data!I137</f>
        <v>89.8</v>
      </c>
      <c r="K137" s="2">
        <f>Cleaned_Prepared_Data!K137</f>
        <v>0</v>
      </c>
      <c r="L137" s="2">
        <f>Cleaned_Prepared_Data!L137</f>
        <v>4.5999999999999996</v>
      </c>
      <c r="M137" s="2">
        <f t="shared" si="6"/>
        <v>0</v>
      </c>
      <c r="N137" s="2">
        <f t="shared" si="7"/>
        <v>1</v>
      </c>
      <c r="O137" s="2">
        <f t="shared" si="8"/>
        <v>0</v>
      </c>
    </row>
    <row r="138" spans="1:15" x14ac:dyDescent="0.35">
      <c r="A138" s="2" t="str">
        <f>Cleaned_Prepared_Data!A138</f>
        <v>STR-1035</v>
      </c>
      <c r="B138" s="2" t="str">
        <f>Cleaned_Prepared_Data!P138</f>
        <v>2025-01</v>
      </c>
      <c r="C138" s="2" t="str">
        <f>Cleaned_Prepared_Data!C138</f>
        <v>South</v>
      </c>
      <c r="D138" s="2" t="str">
        <f>Cleaned_Prepared_Data!D138</f>
        <v>Residential</v>
      </c>
      <c r="E138" s="2">
        <f>Cleaned_Prepared_Data!M138</f>
        <v>633638.03</v>
      </c>
      <c r="F138" s="2">
        <f>Cleaned_Prepared_Data!E138</f>
        <v>71320.66</v>
      </c>
      <c r="G138" s="2">
        <f>Cleaned_Prepared_Data!F138</f>
        <v>7888</v>
      </c>
      <c r="H138" s="2">
        <f>Cleaned_Prepared_Data!G138</f>
        <v>4.8000000000000001E-2</v>
      </c>
      <c r="I138" s="2">
        <f>Cleaned_Prepared_Data!H138</f>
        <v>20</v>
      </c>
      <c r="J138" s="2">
        <f>Cleaned_Prepared_Data!I138</f>
        <v>78.099999999999994</v>
      </c>
      <c r="K138" s="2">
        <f>Cleaned_Prepared_Data!K138</f>
        <v>0</v>
      </c>
      <c r="L138" s="2">
        <f>Cleaned_Prepared_Data!L138</f>
        <v>0</v>
      </c>
      <c r="M138" s="2">
        <f t="shared" si="6"/>
        <v>0</v>
      </c>
      <c r="N138" s="2">
        <f t="shared" si="7"/>
        <v>0</v>
      </c>
      <c r="O138" s="2">
        <f t="shared" si="8"/>
        <v>0</v>
      </c>
    </row>
    <row r="139" spans="1:15" x14ac:dyDescent="0.35">
      <c r="A139" s="2" t="str">
        <f>Cleaned_Prepared_Data!A139</f>
        <v>STR-1035</v>
      </c>
      <c r="B139" s="2" t="str">
        <f>Cleaned_Prepared_Data!P139</f>
        <v>2025-02</v>
      </c>
      <c r="C139" s="2" t="str">
        <f>Cleaned_Prepared_Data!C139</f>
        <v>South</v>
      </c>
      <c r="D139" s="2" t="str">
        <f>Cleaned_Prepared_Data!D139</f>
        <v>Residential</v>
      </c>
      <c r="E139" s="2">
        <f>Cleaned_Prepared_Data!M139</f>
        <v>743348.84</v>
      </c>
      <c r="F139" s="2">
        <f>Cleaned_Prepared_Data!E139</f>
        <v>75109.67</v>
      </c>
      <c r="G139" s="2">
        <f>Cleaned_Prepared_Data!F139</f>
        <v>6244</v>
      </c>
      <c r="H139" s="2">
        <f>Cleaned_Prepared_Data!G139</f>
        <v>7.9000000000000001E-2</v>
      </c>
      <c r="I139" s="2">
        <f>Cleaned_Prepared_Data!H139</f>
        <v>15</v>
      </c>
      <c r="J139" s="2">
        <f>Cleaned_Prepared_Data!I139</f>
        <v>96.3</v>
      </c>
      <c r="K139" s="2">
        <f>Cleaned_Prepared_Data!K139</f>
        <v>0</v>
      </c>
      <c r="L139" s="2">
        <f>Cleaned_Prepared_Data!L139</f>
        <v>3.7</v>
      </c>
      <c r="M139" s="2">
        <f t="shared" si="6"/>
        <v>0</v>
      </c>
      <c r="N139" s="2">
        <f t="shared" si="7"/>
        <v>0</v>
      </c>
      <c r="O139" s="2">
        <f t="shared" si="8"/>
        <v>0</v>
      </c>
    </row>
    <row r="140" spans="1:15" x14ac:dyDescent="0.35">
      <c r="A140" s="2" t="str">
        <f>Cleaned_Prepared_Data!A140</f>
        <v>STR-1035</v>
      </c>
      <c r="B140" s="2" t="str">
        <f>Cleaned_Prepared_Data!P140</f>
        <v>2025-03</v>
      </c>
      <c r="C140" s="2" t="str">
        <f>Cleaned_Prepared_Data!C140</f>
        <v>South</v>
      </c>
      <c r="D140" s="2" t="str">
        <f>Cleaned_Prepared_Data!D140</f>
        <v>Residential</v>
      </c>
      <c r="E140" s="2">
        <f>Cleaned_Prepared_Data!M140</f>
        <v>758827.64</v>
      </c>
      <c r="F140" s="2">
        <f>Cleaned_Prepared_Data!E140</f>
        <v>69779</v>
      </c>
      <c r="G140" s="2">
        <f>Cleaned_Prepared_Data!F140</f>
        <v>6544</v>
      </c>
      <c r="H140" s="2">
        <f>Cleaned_Prepared_Data!G140</f>
        <v>0.152</v>
      </c>
      <c r="I140" s="2">
        <f>Cleaned_Prepared_Data!H140</f>
        <v>18</v>
      </c>
      <c r="J140" s="2">
        <f>Cleaned_Prepared_Data!I140</f>
        <v>90.2</v>
      </c>
      <c r="K140" s="2">
        <f>Cleaned_Prepared_Data!K140</f>
        <v>1</v>
      </c>
      <c r="L140" s="2">
        <f>Cleaned_Prepared_Data!L140</f>
        <v>3.3</v>
      </c>
      <c r="M140" s="2">
        <f t="shared" si="6"/>
        <v>0</v>
      </c>
      <c r="N140" s="2">
        <f t="shared" si="7"/>
        <v>0</v>
      </c>
      <c r="O140" s="2">
        <f t="shared" si="8"/>
        <v>0</v>
      </c>
    </row>
    <row r="141" spans="1:15" x14ac:dyDescent="0.35">
      <c r="A141" s="2" t="str">
        <f>Cleaned_Prepared_Data!A141</f>
        <v>STR-1035</v>
      </c>
      <c r="B141" s="2" t="str">
        <f>Cleaned_Prepared_Data!P141</f>
        <v>2025-04</v>
      </c>
      <c r="C141" s="2" t="str">
        <f>Cleaned_Prepared_Data!C141</f>
        <v>South</v>
      </c>
      <c r="D141" s="2" t="str">
        <f>Cleaned_Prepared_Data!D141</f>
        <v>Residential</v>
      </c>
      <c r="E141" s="2">
        <f>Cleaned_Prepared_Data!M141</f>
        <v>646559.71</v>
      </c>
      <c r="F141" s="2">
        <f>Cleaned_Prepared_Data!E141</f>
        <v>44211.95</v>
      </c>
      <c r="G141" s="2">
        <f>Cleaned_Prepared_Data!F141</f>
        <v>5465</v>
      </c>
      <c r="H141" s="2">
        <f>Cleaned_Prepared_Data!G141</f>
        <v>0.187</v>
      </c>
      <c r="I141" s="2">
        <f>Cleaned_Prepared_Data!H141</f>
        <v>12</v>
      </c>
      <c r="J141" s="2">
        <f>Cleaned_Prepared_Data!I141</f>
        <v>90</v>
      </c>
      <c r="K141" s="2">
        <f>Cleaned_Prepared_Data!K141</f>
        <v>0</v>
      </c>
      <c r="L141" s="2">
        <f>Cleaned_Prepared_Data!L141</f>
        <v>3.6</v>
      </c>
      <c r="M141" s="2">
        <f t="shared" si="6"/>
        <v>0</v>
      </c>
      <c r="N141" s="2">
        <f t="shared" si="7"/>
        <v>0</v>
      </c>
      <c r="O141" s="2">
        <f t="shared" si="8"/>
        <v>0</v>
      </c>
    </row>
    <row r="142" spans="1:15" x14ac:dyDescent="0.35">
      <c r="A142" s="2" t="str">
        <f>Cleaned_Prepared_Data!A142</f>
        <v>STR-1036</v>
      </c>
      <c r="B142" s="2" t="str">
        <f>Cleaned_Prepared_Data!P142</f>
        <v>2025-01</v>
      </c>
      <c r="C142" s="2" t="str">
        <f>Cleaned_Prepared_Data!C142</f>
        <v>West</v>
      </c>
      <c r="D142" s="2" t="str">
        <f>Cleaned_Prepared_Data!D142</f>
        <v>High Street</v>
      </c>
      <c r="E142" s="2">
        <f>Cleaned_Prepared_Data!M142</f>
        <v>715890.53</v>
      </c>
      <c r="F142" s="2">
        <f>Cleaned_Prepared_Data!E142</f>
        <v>51430.31</v>
      </c>
      <c r="G142" s="2">
        <f>Cleaned_Prepared_Data!F142</f>
        <v>6427</v>
      </c>
      <c r="H142" s="2">
        <f>Cleaned_Prepared_Data!G142</f>
        <v>0.23400000000000001</v>
      </c>
      <c r="I142" s="2">
        <f>Cleaned_Prepared_Data!H142</f>
        <v>14</v>
      </c>
      <c r="J142" s="2">
        <f>Cleaned_Prepared_Data!I142</f>
        <v>88.8</v>
      </c>
      <c r="K142" s="2">
        <f>Cleaned_Prepared_Data!K142</f>
        <v>0</v>
      </c>
      <c r="L142" s="2">
        <f>Cleaned_Prepared_Data!L142</f>
        <v>4.0999999999999996</v>
      </c>
      <c r="M142" s="2">
        <f t="shared" si="6"/>
        <v>0</v>
      </c>
      <c r="N142" s="2">
        <f t="shared" si="7"/>
        <v>1</v>
      </c>
      <c r="O142" s="2">
        <f t="shared" si="8"/>
        <v>0</v>
      </c>
    </row>
    <row r="143" spans="1:15" x14ac:dyDescent="0.35">
      <c r="A143" s="2" t="str">
        <f>Cleaned_Prepared_Data!A143</f>
        <v>STR-1036</v>
      </c>
      <c r="B143" s="2" t="str">
        <f>Cleaned_Prepared_Data!P143</f>
        <v>2025-02</v>
      </c>
      <c r="C143" s="2" t="str">
        <f>Cleaned_Prepared_Data!C143</f>
        <v>West</v>
      </c>
      <c r="D143" s="2" t="str">
        <f>Cleaned_Prepared_Data!D143</f>
        <v>High Street</v>
      </c>
      <c r="E143" s="2">
        <f>Cleaned_Prepared_Data!M143</f>
        <v>715097.57</v>
      </c>
      <c r="F143" s="2">
        <f>Cleaned_Prepared_Data!E143</f>
        <v>45706.49</v>
      </c>
      <c r="G143" s="2">
        <f>Cleaned_Prepared_Data!F143</f>
        <v>6704</v>
      </c>
      <c r="H143" s="2">
        <f>Cleaned_Prepared_Data!G143</f>
        <v>3.7999999999999999E-2</v>
      </c>
      <c r="I143" s="2">
        <f>Cleaned_Prepared_Data!H143</f>
        <v>15</v>
      </c>
      <c r="J143" s="2">
        <f>Cleaned_Prepared_Data!I143</f>
        <v>94.2</v>
      </c>
      <c r="K143" s="2">
        <f>Cleaned_Prepared_Data!K143</f>
        <v>0</v>
      </c>
      <c r="L143" s="2">
        <f>Cleaned_Prepared_Data!L143</f>
        <v>4.2</v>
      </c>
      <c r="M143" s="2">
        <f t="shared" si="6"/>
        <v>0</v>
      </c>
      <c r="N143" s="2">
        <f t="shared" si="7"/>
        <v>1</v>
      </c>
      <c r="O143" s="2">
        <f t="shared" si="8"/>
        <v>0</v>
      </c>
    </row>
    <row r="144" spans="1:15" x14ac:dyDescent="0.35">
      <c r="A144" s="2" t="str">
        <f>Cleaned_Prepared_Data!A144</f>
        <v>STR-1036</v>
      </c>
      <c r="B144" s="2" t="str">
        <f>Cleaned_Prepared_Data!P144</f>
        <v>2025-03</v>
      </c>
      <c r="C144" s="2" t="str">
        <f>Cleaned_Prepared_Data!C144</f>
        <v>West</v>
      </c>
      <c r="D144" s="2" t="str">
        <f>Cleaned_Prepared_Data!D144</f>
        <v>High Street</v>
      </c>
      <c r="E144" s="2">
        <f>Cleaned_Prepared_Data!M144</f>
        <v>682639.28</v>
      </c>
      <c r="F144" s="2">
        <f>Cleaned_Prepared_Data!E144</f>
        <v>44034.6</v>
      </c>
      <c r="G144" s="2">
        <f>Cleaned_Prepared_Data!F144</f>
        <v>5645</v>
      </c>
      <c r="H144" s="2">
        <f>Cleaned_Prepared_Data!G144</f>
        <v>6.9000000000000006E-2</v>
      </c>
      <c r="I144" s="2">
        <f>Cleaned_Prepared_Data!H144</f>
        <v>18</v>
      </c>
      <c r="J144" s="2">
        <f>Cleaned_Prepared_Data!I144</f>
        <v>88.5</v>
      </c>
      <c r="K144" s="2">
        <f>Cleaned_Prepared_Data!K144</f>
        <v>0</v>
      </c>
      <c r="L144" s="2">
        <f>Cleaned_Prepared_Data!L144</f>
        <v>3.8</v>
      </c>
      <c r="M144" s="2">
        <f t="shared" si="6"/>
        <v>0</v>
      </c>
      <c r="N144" s="2">
        <f t="shared" si="7"/>
        <v>1</v>
      </c>
      <c r="O144" s="2">
        <f t="shared" si="8"/>
        <v>0</v>
      </c>
    </row>
    <row r="145" spans="1:15" x14ac:dyDescent="0.35">
      <c r="A145" s="2" t="str">
        <f>Cleaned_Prepared_Data!A145</f>
        <v>STR-1036</v>
      </c>
      <c r="B145" s="2" t="str">
        <f>Cleaned_Prepared_Data!P145</f>
        <v>2025-04</v>
      </c>
      <c r="C145" s="2" t="str">
        <f>Cleaned_Prepared_Data!C145</f>
        <v>West</v>
      </c>
      <c r="D145" s="2" t="str">
        <f>Cleaned_Prepared_Data!D145</f>
        <v>High Street</v>
      </c>
      <c r="E145" s="2">
        <f>Cleaned_Prepared_Data!M145</f>
        <v>695098.51</v>
      </c>
      <c r="F145" s="2">
        <f>Cleaned_Prepared_Data!E145</f>
        <v>50198.12</v>
      </c>
      <c r="G145" s="2">
        <f>Cleaned_Prepared_Data!F145</f>
        <v>6089</v>
      </c>
      <c r="H145" s="2">
        <f>Cleaned_Prepared_Data!G145</f>
        <v>0.182</v>
      </c>
      <c r="I145" s="2">
        <f>Cleaned_Prepared_Data!H145</f>
        <v>19</v>
      </c>
      <c r="J145" s="2">
        <f>Cleaned_Prepared_Data!I145</f>
        <v>94</v>
      </c>
      <c r="K145" s="2">
        <f>Cleaned_Prepared_Data!K145</f>
        <v>0</v>
      </c>
      <c r="L145" s="2">
        <f>Cleaned_Prepared_Data!L145</f>
        <v>3.9</v>
      </c>
      <c r="M145" s="2">
        <f t="shared" si="6"/>
        <v>0</v>
      </c>
      <c r="N145" s="2">
        <f t="shared" si="7"/>
        <v>1</v>
      </c>
      <c r="O145" s="2">
        <f t="shared" si="8"/>
        <v>0</v>
      </c>
    </row>
    <row r="146" spans="1:15" x14ac:dyDescent="0.35">
      <c r="A146" s="2" t="str">
        <f>Cleaned_Prepared_Data!A146</f>
        <v>STR-1037</v>
      </c>
      <c r="B146" s="2" t="str">
        <f>Cleaned_Prepared_Data!P146</f>
        <v>2025-01</v>
      </c>
      <c r="C146" s="2" t="str">
        <f>Cleaned_Prepared_Data!C146</f>
        <v>North</v>
      </c>
      <c r="D146" s="2" t="str">
        <f>Cleaned_Prepared_Data!D146</f>
        <v>Residential</v>
      </c>
      <c r="E146" s="2">
        <f>Cleaned_Prepared_Data!M146</f>
        <v>577732.56999999995</v>
      </c>
      <c r="F146" s="2">
        <f>Cleaned_Prepared_Data!E146</f>
        <v>70488.2</v>
      </c>
      <c r="G146" s="2">
        <f>Cleaned_Prepared_Data!F146</f>
        <v>4312</v>
      </c>
      <c r="H146" s="2">
        <f>Cleaned_Prepared_Data!G146</f>
        <v>0.16900000000000001</v>
      </c>
      <c r="I146" s="2">
        <f>Cleaned_Prepared_Data!H146</f>
        <v>12</v>
      </c>
      <c r="J146" s="2">
        <f>Cleaned_Prepared_Data!I146</f>
        <v>90.2</v>
      </c>
      <c r="K146" s="2">
        <f>Cleaned_Prepared_Data!K146</f>
        <v>0</v>
      </c>
      <c r="L146" s="2">
        <f>Cleaned_Prepared_Data!L146</f>
        <v>3.2</v>
      </c>
      <c r="M146" s="2">
        <f t="shared" si="6"/>
        <v>0</v>
      </c>
      <c r="N146" s="2">
        <f t="shared" si="7"/>
        <v>0</v>
      </c>
      <c r="O146" s="2">
        <f t="shared" si="8"/>
        <v>0</v>
      </c>
    </row>
    <row r="147" spans="1:15" x14ac:dyDescent="0.35">
      <c r="A147" s="2" t="str">
        <f>Cleaned_Prepared_Data!A147</f>
        <v>STR-1037</v>
      </c>
      <c r="B147" s="2" t="str">
        <f>Cleaned_Prepared_Data!P147</f>
        <v>2025-02</v>
      </c>
      <c r="C147" s="2" t="str">
        <f>Cleaned_Prepared_Data!C147</f>
        <v>North</v>
      </c>
      <c r="D147" s="2" t="str">
        <f>Cleaned_Prepared_Data!D147</f>
        <v>Residential</v>
      </c>
      <c r="E147" s="2">
        <f>Cleaned_Prepared_Data!M147</f>
        <v>537058.32999999996</v>
      </c>
      <c r="F147" s="2">
        <f>Cleaned_Prepared_Data!E147</f>
        <v>50909.27</v>
      </c>
      <c r="G147" s="2">
        <f>Cleaned_Prepared_Data!F147</f>
        <v>3152</v>
      </c>
      <c r="H147" s="2">
        <f>Cleaned_Prepared_Data!G147</f>
        <v>0.06</v>
      </c>
      <c r="I147" s="2">
        <f>Cleaned_Prepared_Data!H147</f>
        <v>13</v>
      </c>
      <c r="J147" s="2">
        <f>Cleaned_Prepared_Data!I147</f>
        <v>93.7</v>
      </c>
      <c r="K147" s="2">
        <f>Cleaned_Prepared_Data!K147</f>
        <v>0</v>
      </c>
      <c r="L147" s="2">
        <f>Cleaned_Prepared_Data!L147</f>
        <v>3.5</v>
      </c>
      <c r="M147" s="2">
        <f t="shared" si="6"/>
        <v>0</v>
      </c>
      <c r="N147" s="2">
        <f t="shared" si="7"/>
        <v>0</v>
      </c>
      <c r="O147" s="2">
        <f t="shared" si="8"/>
        <v>0</v>
      </c>
    </row>
    <row r="148" spans="1:15" x14ac:dyDescent="0.35">
      <c r="A148" s="2" t="str">
        <f>Cleaned_Prepared_Data!A148</f>
        <v>STR-1037</v>
      </c>
      <c r="B148" s="2" t="str">
        <f>Cleaned_Prepared_Data!P148</f>
        <v>2025-03</v>
      </c>
      <c r="C148" s="2" t="str">
        <f>Cleaned_Prepared_Data!C148</f>
        <v>North</v>
      </c>
      <c r="D148" s="2" t="str">
        <f>Cleaned_Prepared_Data!D148</f>
        <v>Residential</v>
      </c>
      <c r="E148" s="2">
        <f>Cleaned_Prepared_Data!M148</f>
        <v>601568.87</v>
      </c>
      <c r="F148" s="2">
        <f>Cleaned_Prepared_Data!E148</f>
        <v>53351.7</v>
      </c>
      <c r="G148" s="2">
        <f>Cleaned_Prepared_Data!F148</f>
        <v>4259</v>
      </c>
      <c r="H148" s="2">
        <f>Cleaned_Prepared_Data!G148</f>
        <v>0.156</v>
      </c>
      <c r="I148" s="2">
        <f>Cleaned_Prepared_Data!H148</f>
        <v>15</v>
      </c>
      <c r="J148" s="2">
        <f>Cleaned_Prepared_Data!I148</f>
        <v>93.7</v>
      </c>
      <c r="K148" s="2">
        <f>Cleaned_Prepared_Data!K148</f>
        <v>0</v>
      </c>
      <c r="L148" s="2">
        <f>Cleaned_Prepared_Data!L148</f>
        <v>3.4</v>
      </c>
      <c r="M148" s="2">
        <f t="shared" si="6"/>
        <v>0</v>
      </c>
      <c r="N148" s="2">
        <f t="shared" si="7"/>
        <v>0</v>
      </c>
      <c r="O148" s="2">
        <f t="shared" si="8"/>
        <v>0</v>
      </c>
    </row>
    <row r="149" spans="1:15" x14ac:dyDescent="0.35">
      <c r="A149" s="2" t="str">
        <f>Cleaned_Prepared_Data!A149</f>
        <v>STR-1037</v>
      </c>
      <c r="B149" s="2" t="str">
        <f>Cleaned_Prepared_Data!P149</f>
        <v>2025-04</v>
      </c>
      <c r="C149" s="2" t="str">
        <f>Cleaned_Prepared_Data!C149</f>
        <v>North</v>
      </c>
      <c r="D149" s="2" t="str">
        <f>Cleaned_Prepared_Data!D149</f>
        <v>Residential</v>
      </c>
      <c r="E149" s="2">
        <f>Cleaned_Prepared_Data!M149</f>
        <v>570964.84</v>
      </c>
      <c r="F149" s="2">
        <f>Cleaned_Prepared_Data!E149</f>
        <v>60322.400000000001</v>
      </c>
      <c r="G149" s="2">
        <f>Cleaned_Prepared_Data!F149</f>
        <v>3350</v>
      </c>
      <c r="H149" s="2">
        <f>Cleaned_Prepared_Data!G149</f>
        <v>0.108</v>
      </c>
      <c r="I149" s="2">
        <f>Cleaned_Prepared_Data!H149</f>
        <v>12</v>
      </c>
      <c r="J149" s="2">
        <f>Cleaned_Prepared_Data!I149</f>
        <v>89.4</v>
      </c>
      <c r="K149" s="2">
        <f>Cleaned_Prepared_Data!K149</f>
        <v>0</v>
      </c>
      <c r="L149" s="2">
        <f>Cleaned_Prepared_Data!L149</f>
        <v>3.4</v>
      </c>
      <c r="M149" s="2">
        <f t="shared" si="6"/>
        <v>0</v>
      </c>
      <c r="N149" s="2">
        <f t="shared" si="7"/>
        <v>0</v>
      </c>
      <c r="O149" s="2">
        <f t="shared" si="8"/>
        <v>0</v>
      </c>
    </row>
    <row r="150" spans="1:15" x14ac:dyDescent="0.35">
      <c r="A150" s="2" t="str">
        <f>Cleaned_Prepared_Data!A150</f>
        <v>STR-1038</v>
      </c>
      <c r="B150" s="2" t="str">
        <f>Cleaned_Prepared_Data!P150</f>
        <v>2025-01</v>
      </c>
      <c r="C150" s="2" t="str">
        <f>Cleaned_Prepared_Data!C150</f>
        <v>South</v>
      </c>
      <c r="D150" s="2" t="str">
        <f>Cleaned_Prepared_Data!D150</f>
        <v>Mall</v>
      </c>
      <c r="E150" s="2">
        <f>Cleaned_Prepared_Data!M150</f>
        <v>614024.91</v>
      </c>
      <c r="F150" s="2">
        <f>Cleaned_Prepared_Data!E150</f>
        <v>51575.68</v>
      </c>
      <c r="G150" s="2">
        <f>Cleaned_Prepared_Data!F150</f>
        <v>5329</v>
      </c>
      <c r="H150" s="2">
        <f>Cleaned_Prepared_Data!G150</f>
        <v>4.7E-2</v>
      </c>
      <c r="I150" s="2">
        <f>Cleaned_Prepared_Data!H150</f>
        <v>17</v>
      </c>
      <c r="J150" s="2">
        <f>Cleaned_Prepared_Data!I150</f>
        <v>88.1</v>
      </c>
      <c r="K150" s="2">
        <f>Cleaned_Prepared_Data!K150</f>
        <v>0</v>
      </c>
      <c r="L150" s="2">
        <f>Cleaned_Prepared_Data!L150</f>
        <v>3.8</v>
      </c>
      <c r="M150" s="2">
        <f t="shared" si="6"/>
        <v>0</v>
      </c>
      <c r="N150" s="2">
        <f t="shared" si="7"/>
        <v>0</v>
      </c>
      <c r="O150" s="2">
        <f t="shared" si="8"/>
        <v>1</v>
      </c>
    </row>
    <row r="151" spans="1:15" x14ac:dyDescent="0.35">
      <c r="A151" s="2" t="str">
        <f>Cleaned_Prepared_Data!A151</f>
        <v>STR-1038</v>
      </c>
      <c r="B151" s="2" t="str">
        <f>Cleaned_Prepared_Data!P151</f>
        <v>2025-02</v>
      </c>
      <c r="C151" s="2" t="str">
        <f>Cleaned_Prepared_Data!C151</f>
        <v>South</v>
      </c>
      <c r="D151" s="2" t="str">
        <f>Cleaned_Prepared_Data!D151</f>
        <v>Mall</v>
      </c>
      <c r="E151" s="2">
        <f>Cleaned_Prepared_Data!M151</f>
        <v>712868.35</v>
      </c>
      <c r="F151" s="2">
        <f>Cleaned_Prepared_Data!E151</f>
        <v>43319.94</v>
      </c>
      <c r="G151" s="2">
        <f>Cleaned_Prepared_Data!F151</f>
        <v>6551</v>
      </c>
      <c r="H151" s="2">
        <f>Cleaned_Prepared_Data!G151</f>
        <v>4.3999999999999997E-2</v>
      </c>
      <c r="I151" s="2">
        <f>Cleaned_Prepared_Data!H151</f>
        <v>13</v>
      </c>
      <c r="J151" s="2">
        <f>Cleaned_Prepared_Data!I151</f>
        <v>99</v>
      </c>
      <c r="K151" s="2">
        <f>Cleaned_Prepared_Data!K151</f>
        <v>0</v>
      </c>
      <c r="L151" s="2">
        <f>Cleaned_Prepared_Data!L151</f>
        <v>4.0999999999999996</v>
      </c>
      <c r="M151" s="2">
        <f t="shared" si="6"/>
        <v>0</v>
      </c>
      <c r="N151" s="2">
        <f t="shared" si="7"/>
        <v>0</v>
      </c>
      <c r="O151" s="2">
        <f t="shared" si="8"/>
        <v>1</v>
      </c>
    </row>
    <row r="152" spans="1:15" x14ac:dyDescent="0.35">
      <c r="A152" s="2" t="str">
        <f>Cleaned_Prepared_Data!A152</f>
        <v>STR-1038</v>
      </c>
      <c r="B152" s="2" t="str">
        <f>Cleaned_Prepared_Data!P152</f>
        <v>2025-03</v>
      </c>
      <c r="C152" s="2" t="str">
        <f>Cleaned_Prepared_Data!C152</f>
        <v>South</v>
      </c>
      <c r="D152" s="2" t="str">
        <f>Cleaned_Prepared_Data!D152</f>
        <v>Mall</v>
      </c>
      <c r="E152" s="2">
        <f>Cleaned_Prepared_Data!M152</f>
        <v>696744.15</v>
      </c>
      <c r="F152" s="2">
        <f>Cleaned_Prepared_Data!E152</f>
        <v>47093.55</v>
      </c>
      <c r="G152" s="2">
        <f>Cleaned_Prepared_Data!F152</f>
        <v>5550</v>
      </c>
      <c r="H152" s="2">
        <f>Cleaned_Prepared_Data!G152</f>
        <v>0.1</v>
      </c>
      <c r="I152" s="2">
        <f>Cleaned_Prepared_Data!H152</f>
        <v>12</v>
      </c>
      <c r="J152" s="2">
        <f>Cleaned_Prepared_Data!I152</f>
        <v>95</v>
      </c>
      <c r="K152" s="2">
        <f>Cleaned_Prepared_Data!K152</f>
        <v>1</v>
      </c>
      <c r="L152" s="2">
        <f>Cleaned_Prepared_Data!L152</f>
        <v>3.7</v>
      </c>
      <c r="M152" s="2">
        <f t="shared" si="6"/>
        <v>0</v>
      </c>
      <c r="N152" s="2">
        <f t="shared" si="7"/>
        <v>0</v>
      </c>
      <c r="O152" s="2">
        <f t="shared" si="8"/>
        <v>1</v>
      </c>
    </row>
    <row r="153" spans="1:15" x14ac:dyDescent="0.35">
      <c r="A153" s="2" t="str">
        <f>Cleaned_Prepared_Data!A153</f>
        <v>STR-1038</v>
      </c>
      <c r="B153" s="2" t="str">
        <f>Cleaned_Prepared_Data!P153</f>
        <v>2025-04</v>
      </c>
      <c r="C153" s="2" t="str">
        <f>Cleaned_Prepared_Data!C153</f>
        <v>South</v>
      </c>
      <c r="D153" s="2" t="str">
        <f>Cleaned_Prepared_Data!D153</f>
        <v>Mall</v>
      </c>
      <c r="E153" s="2">
        <f>Cleaned_Prepared_Data!M153</f>
        <v>725847.99</v>
      </c>
      <c r="F153" s="2">
        <f>Cleaned_Prepared_Data!E153</f>
        <v>71855.09</v>
      </c>
      <c r="G153" s="2">
        <f>Cleaned_Prepared_Data!F153</f>
        <v>5911</v>
      </c>
      <c r="H153" s="2">
        <f>Cleaned_Prepared_Data!G153</f>
        <v>0.19700000000000001</v>
      </c>
      <c r="I153" s="2">
        <f>Cleaned_Prepared_Data!H153</f>
        <v>15</v>
      </c>
      <c r="J153" s="2">
        <f>Cleaned_Prepared_Data!I153</f>
        <v>94.3</v>
      </c>
      <c r="K153" s="2">
        <f>Cleaned_Prepared_Data!K153</f>
        <v>0</v>
      </c>
      <c r="L153" s="2">
        <f>Cleaned_Prepared_Data!L153</f>
        <v>4.0999999999999996</v>
      </c>
      <c r="M153" s="2">
        <f t="shared" si="6"/>
        <v>0</v>
      </c>
      <c r="N153" s="2">
        <f t="shared" si="7"/>
        <v>0</v>
      </c>
      <c r="O153" s="2">
        <f t="shared" si="8"/>
        <v>1</v>
      </c>
    </row>
    <row r="154" spans="1:15" x14ac:dyDescent="0.35">
      <c r="A154" s="2" t="str">
        <f>Cleaned_Prepared_Data!A154</f>
        <v>STR-1039</v>
      </c>
      <c r="B154" s="2" t="str">
        <f>Cleaned_Prepared_Data!P154</f>
        <v>2025-01</v>
      </c>
      <c r="C154" s="2" t="str">
        <f>Cleaned_Prepared_Data!C154</f>
        <v>East</v>
      </c>
      <c r="D154" s="2" t="str">
        <f>Cleaned_Prepared_Data!D154</f>
        <v>High Street</v>
      </c>
      <c r="E154" s="2">
        <f>Cleaned_Prepared_Data!M154</f>
        <v>785028.25</v>
      </c>
      <c r="F154" s="2">
        <f>Cleaned_Prepared_Data!E154</f>
        <v>75645.23</v>
      </c>
      <c r="G154" s="2">
        <f>Cleaned_Prepared_Data!F154</f>
        <v>9674</v>
      </c>
      <c r="H154" s="2">
        <f>Cleaned_Prepared_Data!G154</f>
        <v>0.23400000000000001</v>
      </c>
      <c r="I154" s="2">
        <f>Cleaned_Prepared_Data!H154</f>
        <v>21</v>
      </c>
      <c r="J154" s="2">
        <f>Cleaned_Prepared_Data!I154</f>
        <v>87.4</v>
      </c>
      <c r="K154" s="2">
        <f>Cleaned_Prepared_Data!K154</f>
        <v>0</v>
      </c>
      <c r="L154" s="2">
        <f>Cleaned_Prepared_Data!L154</f>
        <v>4.5</v>
      </c>
      <c r="M154" s="2">
        <f t="shared" si="6"/>
        <v>0</v>
      </c>
      <c r="N154" s="2">
        <f t="shared" si="7"/>
        <v>1</v>
      </c>
      <c r="O154" s="2">
        <f t="shared" si="8"/>
        <v>0</v>
      </c>
    </row>
    <row r="155" spans="1:15" x14ac:dyDescent="0.35">
      <c r="A155" s="2" t="str">
        <f>Cleaned_Prepared_Data!A155</f>
        <v>STR-1039</v>
      </c>
      <c r="B155" s="2" t="str">
        <f>Cleaned_Prepared_Data!P155</f>
        <v>2025-02</v>
      </c>
      <c r="C155" s="2" t="str">
        <f>Cleaned_Prepared_Data!C155</f>
        <v>East</v>
      </c>
      <c r="D155" s="2" t="str">
        <f>Cleaned_Prepared_Data!D155</f>
        <v>High Street</v>
      </c>
      <c r="E155" s="2">
        <f>Cleaned_Prepared_Data!M155</f>
        <v>698492.67</v>
      </c>
      <c r="F155" s="2">
        <f>Cleaned_Prepared_Data!E155</f>
        <v>64374.75</v>
      </c>
      <c r="G155" s="2">
        <f>Cleaned_Prepared_Data!F155</f>
        <v>6740</v>
      </c>
      <c r="H155" s="2">
        <f>Cleaned_Prepared_Data!G155</f>
        <v>0.16900000000000001</v>
      </c>
      <c r="I155" s="2">
        <f>Cleaned_Prepared_Data!H155</f>
        <v>18</v>
      </c>
      <c r="J155" s="2">
        <f>Cleaned_Prepared_Data!I155</f>
        <v>87</v>
      </c>
      <c r="K155" s="2">
        <f>Cleaned_Prepared_Data!K155</f>
        <v>0</v>
      </c>
      <c r="L155" s="2">
        <f>Cleaned_Prepared_Data!L155</f>
        <v>4.2</v>
      </c>
      <c r="M155" s="2">
        <f t="shared" si="6"/>
        <v>0</v>
      </c>
      <c r="N155" s="2">
        <f t="shared" si="7"/>
        <v>1</v>
      </c>
      <c r="O155" s="2">
        <f t="shared" si="8"/>
        <v>0</v>
      </c>
    </row>
    <row r="156" spans="1:15" x14ac:dyDescent="0.35">
      <c r="A156" s="2" t="str">
        <f>Cleaned_Prepared_Data!A156</f>
        <v>STR-1039</v>
      </c>
      <c r="B156" s="2" t="str">
        <f>Cleaned_Prepared_Data!P156</f>
        <v>2025-03</v>
      </c>
      <c r="C156" s="2" t="str">
        <f>Cleaned_Prepared_Data!C156</f>
        <v>East</v>
      </c>
      <c r="D156" s="2" t="str">
        <f>Cleaned_Prepared_Data!D156</f>
        <v>High Street</v>
      </c>
      <c r="E156" s="2">
        <f>Cleaned_Prepared_Data!M156</f>
        <v>685830.24</v>
      </c>
      <c r="F156" s="2">
        <f>Cleaned_Prepared_Data!E156</f>
        <v>61433.84</v>
      </c>
      <c r="G156" s="2">
        <f>Cleaned_Prepared_Data!F156</f>
        <v>7745</v>
      </c>
      <c r="H156" s="2">
        <f>Cleaned_Prepared_Data!G156</f>
        <v>0.18</v>
      </c>
      <c r="I156" s="2">
        <f>Cleaned_Prepared_Data!H156</f>
        <v>16</v>
      </c>
      <c r="J156" s="2">
        <f>Cleaned_Prepared_Data!I156</f>
        <v>90.5</v>
      </c>
      <c r="K156" s="2">
        <f>Cleaned_Prepared_Data!K156</f>
        <v>0</v>
      </c>
      <c r="L156" s="2">
        <f>Cleaned_Prepared_Data!L156</f>
        <v>4.2</v>
      </c>
      <c r="M156" s="2">
        <f t="shared" si="6"/>
        <v>0</v>
      </c>
      <c r="N156" s="2">
        <f t="shared" si="7"/>
        <v>1</v>
      </c>
      <c r="O156" s="2">
        <f t="shared" si="8"/>
        <v>0</v>
      </c>
    </row>
    <row r="157" spans="1:15" x14ac:dyDescent="0.35">
      <c r="A157" s="2" t="str">
        <f>Cleaned_Prepared_Data!A157</f>
        <v>STR-1039</v>
      </c>
      <c r="B157" s="2" t="str">
        <f>Cleaned_Prepared_Data!P157</f>
        <v>2025-04</v>
      </c>
      <c r="C157" s="2" t="str">
        <f>Cleaned_Prepared_Data!C157</f>
        <v>East</v>
      </c>
      <c r="D157" s="2" t="str">
        <f>Cleaned_Prepared_Data!D157</f>
        <v>High Street</v>
      </c>
      <c r="E157" s="2">
        <f>Cleaned_Prepared_Data!M157</f>
        <v>702318.94</v>
      </c>
      <c r="F157" s="2">
        <f>Cleaned_Prepared_Data!E157</f>
        <v>42698.14</v>
      </c>
      <c r="G157" s="2">
        <f>Cleaned_Prepared_Data!F157</f>
        <v>7693</v>
      </c>
      <c r="H157" s="2">
        <f>Cleaned_Prepared_Data!G157</f>
        <v>0.187</v>
      </c>
      <c r="I157" s="2">
        <f>Cleaned_Prepared_Data!H157</f>
        <v>19</v>
      </c>
      <c r="J157" s="2">
        <f>Cleaned_Prepared_Data!I157</f>
        <v>90.1</v>
      </c>
      <c r="K157" s="2">
        <f>Cleaned_Prepared_Data!K157</f>
        <v>0</v>
      </c>
      <c r="L157" s="2">
        <f>Cleaned_Prepared_Data!L157</f>
        <v>4.4000000000000004</v>
      </c>
      <c r="M157" s="2">
        <f t="shared" si="6"/>
        <v>0</v>
      </c>
      <c r="N157" s="2">
        <f t="shared" si="7"/>
        <v>1</v>
      </c>
      <c r="O157" s="2">
        <f t="shared" si="8"/>
        <v>0</v>
      </c>
    </row>
    <row r="158" spans="1:15" x14ac:dyDescent="0.35">
      <c r="A158" s="2" t="str">
        <f>Cleaned_Prepared_Data!A158</f>
        <v>STR-1040</v>
      </c>
      <c r="B158" s="2" t="str">
        <f>Cleaned_Prepared_Data!P158</f>
        <v>2025-01</v>
      </c>
      <c r="C158" s="2" t="str">
        <f>Cleaned_Prepared_Data!C158</f>
        <v>North</v>
      </c>
      <c r="D158" s="2" t="str">
        <f>Cleaned_Prepared_Data!D158</f>
        <v>Mall</v>
      </c>
      <c r="E158" s="2">
        <f>Cleaned_Prepared_Data!M158</f>
        <v>700078.32</v>
      </c>
      <c r="F158" s="2">
        <f>Cleaned_Prepared_Data!E158</f>
        <v>86883.31</v>
      </c>
      <c r="G158" s="2">
        <f>Cleaned_Prepared_Data!F158</f>
        <v>6424</v>
      </c>
      <c r="H158" s="2">
        <f>Cleaned_Prepared_Data!G158</f>
        <v>5.7000000000000002E-2</v>
      </c>
      <c r="I158" s="2">
        <f>Cleaned_Prepared_Data!H158</f>
        <v>19</v>
      </c>
      <c r="J158" s="2">
        <f>Cleaned_Prepared_Data!I158</f>
        <v>85.2</v>
      </c>
      <c r="K158" s="2">
        <f>Cleaned_Prepared_Data!K158</f>
        <v>0</v>
      </c>
      <c r="L158" s="2">
        <f>Cleaned_Prepared_Data!L158</f>
        <v>3.9</v>
      </c>
      <c r="M158" s="2">
        <f t="shared" si="6"/>
        <v>0</v>
      </c>
      <c r="N158" s="2">
        <f t="shared" si="7"/>
        <v>0</v>
      </c>
      <c r="O158" s="2">
        <f t="shared" si="8"/>
        <v>1</v>
      </c>
    </row>
    <row r="159" spans="1:15" x14ac:dyDescent="0.35">
      <c r="A159" s="2" t="str">
        <f>Cleaned_Prepared_Data!A159</f>
        <v>STR-1040</v>
      </c>
      <c r="B159" s="2" t="str">
        <f>Cleaned_Prepared_Data!P159</f>
        <v>2025-02</v>
      </c>
      <c r="C159" s="2" t="str">
        <f>Cleaned_Prepared_Data!C159</f>
        <v>North</v>
      </c>
      <c r="D159" s="2" t="str">
        <f>Cleaned_Prepared_Data!D159</f>
        <v>Mall</v>
      </c>
      <c r="E159" s="2">
        <f>Cleaned_Prepared_Data!M159</f>
        <v>602002.31999999995</v>
      </c>
      <c r="F159" s="2">
        <f>Cleaned_Prepared_Data!E159</f>
        <v>41863.08</v>
      </c>
      <c r="G159" s="2">
        <f>Cleaned_Prepared_Data!F159</f>
        <v>5400</v>
      </c>
      <c r="H159" s="2">
        <f>Cleaned_Prepared_Data!G159</f>
        <v>0.114</v>
      </c>
      <c r="I159" s="2">
        <f>Cleaned_Prepared_Data!H159</f>
        <v>11</v>
      </c>
      <c r="J159" s="2">
        <f>Cleaned_Prepared_Data!I159</f>
        <v>91.6</v>
      </c>
      <c r="K159" s="2">
        <f>Cleaned_Prepared_Data!K159</f>
        <v>0</v>
      </c>
      <c r="L159" s="2">
        <f>Cleaned_Prepared_Data!L159</f>
        <v>3</v>
      </c>
      <c r="M159" s="2">
        <f t="shared" si="6"/>
        <v>0</v>
      </c>
      <c r="N159" s="2">
        <f t="shared" si="7"/>
        <v>0</v>
      </c>
      <c r="O159" s="2">
        <f t="shared" si="8"/>
        <v>1</v>
      </c>
    </row>
    <row r="160" spans="1:15" x14ac:dyDescent="0.35">
      <c r="A160" s="2" t="str">
        <f>Cleaned_Prepared_Data!A160</f>
        <v>STR-1040</v>
      </c>
      <c r="B160" s="2" t="str">
        <f>Cleaned_Prepared_Data!P160</f>
        <v>2025-03</v>
      </c>
      <c r="C160" s="2" t="str">
        <f>Cleaned_Prepared_Data!C160</f>
        <v>North</v>
      </c>
      <c r="D160" s="2" t="str">
        <f>Cleaned_Prepared_Data!D160</f>
        <v>Mall</v>
      </c>
      <c r="E160" s="2">
        <f>Cleaned_Prepared_Data!M160</f>
        <v>724216.07</v>
      </c>
      <c r="F160" s="2">
        <f>Cleaned_Prepared_Data!E160</f>
        <v>56918.16</v>
      </c>
      <c r="G160" s="2">
        <f>Cleaned_Prepared_Data!F160</f>
        <v>7015</v>
      </c>
      <c r="H160" s="2">
        <f>Cleaned_Prepared_Data!G160</f>
        <v>0.158</v>
      </c>
      <c r="I160" s="2">
        <f>Cleaned_Prepared_Data!H160</f>
        <v>18</v>
      </c>
      <c r="J160" s="2">
        <f>Cleaned_Prepared_Data!I160</f>
        <v>74.2</v>
      </c>
      <c r="K160" s="2">
        <f>Cleaned_Prepared_Data!K160</f>
        <v>0</v>
      </c>
      <c r="L160" s="2">
        <f>Cleaned_Prepared_Data!L160</f>
        <v>3.4</v>
      </c>
      <c r="M160" s="2">
        <f t="shared" si="6"/>
        <v>0</v>
      </c>
      <c r="N160" s="2">
        <f t="shared" si="7"/>
        <v>0</v>
      </c>
      <c r="O160" s="2">
        <f t="shared" si="8"/>
        <v>1</v>
      </c>
    </row>
    <row r="161" spans="1:15" x14ac:dyDescent="0.35">
      <c r="A161" s="2" t="str">
        <f>Cleaned_Prepared_Data!A161</f>
        <v>STR-1040</v>
      </c>
      <c r="B161" s="2" t="str">
        <f>Cleaned_Prepared_Data!P161</f>
        <v>2025-04</v>
      </c>
      <c r="C161" s="2" t="str">
        <f>Cleaned_Prepared_Data!C161</f>
        <v>North</v>
      </c>
      <c r="D161" s="2" t="str">
        <f>Cleaned_Prepared_Data!D161</f>
        <v>Mall</v>
      </c>
      <c r="E161" s="2">
        <f>Cleaned_Prepared_Data!M161</f>
        <v>620973.03</v>
      </c>
      <c r="F161" s="2">
        <f>Cleaned_Prepared_Data!E161</f>
        <v>23254.57</v>
      </c>
      <c r="G161" s="2">
        <f>Cleaned_Prepared_Data!F161</f>
        <v>3847</v>
      </c>
      <c r="H161" s="2">
        <f>Cleaned_Prepared_Data!G161</f>
        <v>0.159</v>
      </c>
      <c r="I161" s="2">
        <f>Cleaned_Prepared_Data!H161</f>
        <v>12</v>
      </c>
      <c r="J161" s="2">
        <f>Cleaned_Prepared_Data!I161</f>
        <v>93</v>
      </c>
      <c r="K161" s="2">
        <f>Cleaned_Prepared_Data!K161</f>
        <v>0</v>
      </c>
      <c r="L161" s="2">
        <f>Cleaned_Prepared_Data!L161</f>
        <v>3.3</v>
      </c>
      <c r="M161" s="2">
        <f t="shared" si="6"/>
        <v>0</v>
      </c>
      <c r="N161" s="2">
        <f t="shared" si="7"/>
        <v>0</v>
      </c>
      <c r="O161" s="2">
        <f t="shared" si="8"/>
        <v>1</v>
      </c>
    </row>
    <row r="162" spans="1:15" x14ac:dyDescent="0.35">
      <c r="A162" s="2" t="str">
        <f>Cleaned_Prepared_Data!A162</f>
        <v>STR-1041</v>
      </c>
      <c r="B162" s="2" t="str">
        <f>Cleaned_Prepared_Data!P162</f>
        <v>2025-01</v>
      </c>
      <c r="C162" s="2" t="str">
        <f>Cleaned_Prepared_Data!C162</f>
        <v>South</v>
      </c>
      <c r="D162" s="2" t="str">
        <f>Cleaned_Prepared_Data!D162</f>
        <v>High Street</v>
      </c>
      <c r="E162" s="2">
        <f>Cleaned_Prepared_Data!M162</f>
        <v>650480.06000000006</v>
      </c>
      <c r="F162" s="2">
        <f>Cleaned_Prepared_Data!E162</f>
        <v>41443.410000000003</v>
      </c>
      <c r="G162" s="2">
        <f>Cleaned_Prepared_Data!F162</f>
        <v>7455</v>
      </c>
      <c r="H162" s="2">
        <f>Cleaned_Prepared_Data!G162</f>
        <v>0.17499999999999999</v>
      </c>
      <c r="I162" s="2">
        <f>Cleaned_Prepared_Data!H162</f>
        <v>16</v>
      </c>
      <c r="J162" s="2">
        <f>Cleaned_Prepared_Data!I162</f>
        <v>90.1</v>
      </c>
      <c r="K162" s="2">
        <f>Cleaned_Prepared_Data!K162</f>
        <v>0</v>
      </c>
      <c r="L162" s="2">
        <f>Cleaned_Prepared_Data!L162</f>
        <v>4</v>
      </c>
      <c r="M162" s="2">
        <f t="shared" si="6"/>
        <v>0</v>
      </c>
      <c r="N162" s="2">
        <f t="shared" si="7"/>
        <v>1</v>
      </c>
      <c r="O162" s="2">
        <f t="shared" si="8"/>
        <v>0</v>
      </c>
    </row>
    <row r="163" spans="1:15" x14ac:dyDescent="0.35">
      <c r="A163" s="2" t="str">
        <f>Cleaned_Prepared_Data!A163</f>
        <v>STR-1041</v>
      </c>
      <c r="B163" s="2" t="str">
        <f>Cleaned_Prepared_Data!P163</f>
        <v>2025-02</v>
      </c>
      <c r="C163" s="2" t="str">
        <f>Cleaned_Prepared_Data!C163</f>
        <v>South</v>
      </c>
      <c r="D163" s="2" t="str">
        <f>Cleaned_Prepared_Data!D163</f>
        <v>High Street</v>
      </c>
      <c r="E163" s="2">
        <f>Cleaned_Prepared_Data!M163</f>
        <v>778298.88</v>
      </c>
      <c r="F163" s="2">
        <f>Cleaned_Prepared_Data!E163</f>
        <v>48438.85</v>
      </c>
      <c r="G163" s="2">
        <f>Cleaned_Prepared_Data!F163</f>
        <v>6992</v>
      </c>
      <c r="H163" s="2">
        <f>Cleaned_Prepared_Data!G163</f>
        <v>3.4000000000000002E-2</v>
      </c>
      <c r="I163" s="2">
        <f>Cleaned_Prepared_Data!H163</f>
        <v>20</v>
      </c>
      <c r="J163" s="2">
        <f>Cleaned_Prepared_Data!I163</f>
        <v>91</v>
      </c>
      <c r="K163" s="2">
        <f>Cleaned_Prepared_Data!K163</f>
        <v>0</v>
      </c>
      <c r="L163" s="2">
        <f>Cleaned_Prepared_Data!L163</f>
        <v>4.2</v>
      </c>
      <c r="M163" s="2">
        <f t="shared" si="6"/>
        <v>0</v>
      </c>
      <c r="N163" s="2">
        <f t="shared" si="7"/>
        <v>1</v>
      </c>
      <c r="O163" s="2">
        <f t="shared" si="8"/>
        <v>0</v>
      </c>
    </row>
    <row r="164" spans="1:15" x14ac:dyDescent="0.35">
      <c r="A164" s="2" t="str">
        <f>Cleaned_Prepared_Data!A164</f>
        <v>STR-1041</v>
      </c>
      <c r="B164" s="2" t="str">
        <f>Cleaned_Prepared_Data!P164</f>
        <v>2025-03</v>
      </c>
      <c r="C164" s="2" t="str">
        <f>Cleaned_Prepared_Data!C164</f>
        <v>South</v>
      </c>
      <c r="D164" s="2" t="str">
        <f>Cleaned_Prepared_Data!D164</f>
        <v>High Street</v>
      </c>
      <c r="E164" s="2">
        <f>Cleaned_Prepared_Data!M164</f>
        <v>677096.71</v>
      </c>
      <c r="F164" s="2">
        <f>Cleaned_Prepared_Data!E164</f>
        <v>57143.3</v>
      </c>
      <c r="G164" s="2">
        <f>Cleaned_Prepared_Data!F164</f>
        <v>8038</v>
      </c>
      <c r="H164" s="2">
        <f>Cleaned_Prepared_Data!G164</f>
        <v>0.193</v>
      </c>
      <c r="I164" s="2">
        <f>Cleaned_Prepared_Data!H164</f>
        <v>17</v>
      </c>
      <c r="J164" s="2">
        <f>Cleaned_Prepared_Data!I164</f>
        <v>72.599999999999994</v>
      </c>
      <c r="K164" s="2">
        <f>Cleaned_Prepared_Data!K164</f>
        <v>0</v>
      </c>
      <c r="L164" s="2">
        <f>Cleaned_Prepared_Data!L164</f>
        <v>4.2</v>
      </c>
      <c r="M164" s="2">
        <f t="shared" si="6"/>
        <v>0</v>
      </c>
      <c r="N164" s="2">
        <f t="shared" si="7"/>
        <v>1</v>
      </c>
      <c r="O164" s="2">
        <f t="shared" si="8"/>
        <v>0</v>
      </c>
    </row>
    <row r="165" spans="1:15" x14ac:dyDescent="0.35">
      <c r="A165" s="2" t="str">
        <f>Cleaned_Prepared_Data!A165</f>
        <v>STR-1041</v>
      </c>
      <c r="B165" s="2" t="str">
        <f>Cleaned_Prepared_Data!P165</f>
        <v>2025-04</v>
      </c>
      <c r="C165" s="2" t="str">
        <f>Cleaned_Prepared_Data!C165</f>
        <v>South</v>
      </c>
      <c r="D165" s="2" t="str">
        <f>Cleaned_Prepared_Data!D165</f>
        <v>High Street</v>
      </c>
      <c r="E165" s="2">
        <f>Cleaned_Prepared_Data!M165</f>
        <v>692008.64</v>
      </c>
      <c r="F165" s="2">
        <f>Cleaned_Prepared_Data!E165</f>
        <v>66870.62</v>
      </c>
      <c r="G165" s="2">
        <f>Cleaned_Prepared_Data!F165</f>
        <v>6055</v>
      </c>
      <c r="H165" s="2">
        <f>Cleaned_Prepared_Data!G165</f>
        <v>7.4999999999999997E-2</v>
      </c>
      <c r="I165" s="2">
        <f>Cleaned_Prepared_Data!H165</f>
        <v>19</v>
      </c>
      <c r="J165" s="2">
        <f>Cleaned_Prepared_Data!I165</f>
        <v>93.8</v>
      </c>
      <c r="K165" s="2">
        <f>Cleaned_Prepared_Data!K165</f>
        <v>0</v>
      </c>
      <c r="L165" s="2">
        <f>Cleaned_Prepared_Data!L165</f>
        <v>4.3</v>
      </c>
      <c r="M165" s="2">
        <f t="shared" si="6"/>
        <v>0</v>
      </c>
      <c r="N165" s="2">
        <f t="shared" si="7"/>
        <v>1</v>
      </c>
      <c r="O165" s="2">
        <f t="shared" si="8"/>
        <v>0</v>
      </c>
    </row>
    <row r="166" spans="1:15" x14ac:dyDescent="0.35">
      <c r="A166" s="2" t="str">
        <f>Cleaned_Prepared_Data!A166</f>
        <v>STR-1042</v>
      </c>
      <c r="B166" s="2" t="str">
        <f>Cleaned_Prepared_Data!P166</f>
        <v>2025-01</v>
      </c>
      <c r="C166" s="2" t="str">
        <f>Cleaned_Prepared_Data!C166</f>
        <v>North</v>
      </c>
      <c r="D166" s="2" t="str">
        <f>Cleaned_Prepared_Data!D166</f>
        <v>Mall</v>
      </c>
      <c r="E166" s="2">
        <f>Cleaned_Prepared_Data!M166</f>
        <v>825797.91</v>
      </c>
      <c r="F166" s="2">
        <f>Cleaned_Prepared_Data!E166</f>
        <v>72150.53</v>
      </c>
      <c r="G166" s="2">
        <f>Cleaned_Prepared_Data!F166</f>
        <v>9323</v>
      </c>
      <c r="H166" s="2">
        <f>Cleaned_Prepared_Data!G166</f>
        <v>0.157</v>
      </c>
      <c r="I166" s="2">
        <f>Cleaned_Prepared_Data!H166</f>
        <v>22</v>
      </c>
      <c r="J166" s="2">
        <f>Cleaned_Prepared_Data!I166</f>
        <v>82.9</v>
      </c>
      <c r="K166" s="2">
        <f>Cleaned_Prepared_Data!K166</f>
        <v>1</v>
      </c>
      <c r="L166" s="2">
        <f>Cleaned_Prepared_Data!L166</f>
        <v>4.3</v>
      </c>
      <c r="M166" s="2">
        <f t="shared" si="6"/>
        <v>0</v>
      </c>
      <c r="N166" s="2">
        <f t="shared" si="7"/>
        <v>0</v>
      </c>
      <c r="O166" s="2">
        <f t="shared" si="8"/>
        <v>1</v>
      </c>
    </row>
    <row r="167" spans="1:15" x14ac:dyDescent="0.35">
      <c r="A167" s="2" t="str">
        <f>Cleaned_Prepared_Data!A167</f>
        <v>STR-1042</v>
      </c>
      <c r="B167" s="2" t="str">
        <f>Cleaned_Prepared_Data!P167</f>
        <v>2025-02</v>
      </c>
      <c r="C167" s="2" t="str">
        <f>Cleaned_Prepared_Data!C167</f>
        <v>North</v>
      </c>
      <c r="D167" s="2" t="str">
        <f>Cleaned_Prepared_Data!D167</f>
        <v>Mall</v>
      </c>
      <c r="E167" s="2">
        <f>Cleaned_Prepared_Data!M167</f>
        <v>706285.52</v>
      </c>
      <c r="F167" s="2">
        <f>Cleaned_Prepared_Data!E167</f>
        <v>35303.300000000003</v>
      </c>
      <c r="G167" s="2">
        <f>Cleaned_Prepared_Data!F167</f>
        <v>8789</v>
      </c>
      <c r="H167" s="2">
        <f>Cleaned_Prepared_Data!G167</f>
        <v>0.123</v>
      </c>
      <c r="I167" s="2">
        <f>Cleaned_Prepared_Data!H167</f>
        <v>22</v>
      </c>
      <c r="J167" s="2">
        <f>Cleaned_Prepared_Data!I167</f>
        <v>86.1</v>
      </c>
      <c r="K167" s="2">
        <f>Cleaned_Prepared_Data!K167</f>
        <v>0</v>
      </c>
      <c r="L167" s="2">
        <f>Cleaned_Prepared_Data!L167</f>
        <v>4.2</v>
      </c>
      <c r="M167" s="2">
        <f t="shared" si="6"/>
        <v>0</v>
      </c>
      <c r="N167" s="2">
        <f t="shared" si="7"/>
        <v>0</v>
      </c>
      <c r="O167" s="2">
        <f t="shared" si="8"/>
        <v>1</v>
      </c>
    </row>
    <row r="168" spans="1:15" x14ac:dyDescent="0.35">
      <c r="A168" s="2" t="str">
        <f>Cleaned_Prepared_Data!A168</f>
        <v>STR-1042</v>
      </c>
      <c r="B168" s="2" t="str">
        <f>Cleaned_Prepared_Data!P168</f>
        <v>2025-03</v>
      </c>
      <c r="C168" s="2" t="str">
        <f>Cleaned_Prepared_Data!C168</f>
        <v>North</v>
      </c>
      <c r="D168" s="2" t="str">
        <f>Cleaned_Prepared_Data!D168</f>
        <v>Mall</v>
      </c>
      <c r="E168" s="2">
        <f>Cleaned_Prepared_Data!M168</f>
        <v>665534.69999999995</v>
      </c>
      <c r="F168" s="2">
        <f>Cleaned_Prepared_Data!E168</f>
        <v>30301.86</v>
      </c>
      <c r="G168" s="2">
        <f>Cleaned_Prepared_Data!F168</f>
        <v>6939</v>
      </c>
      <c r="H168" s="2">
        <f>Cleaned_Prepared_Data!G168</f>
        <v>0.09</v>
      </c>
      <c r="I168" s="2">
        <f>Cleaned_Prepared_Data!H168</f>
        <v>16</v>
      </c>
      <c r="J168" s="2">
        <f>Cleaned_Prepared_Data!I168</f>
        <v>90.3</v>
      </c>
      <c r="K168" s="2">
        <f>Cleaned_Prepared_Data!K168</f>
        <v>0</v>
      </c>
      <c r="L168" s="2">
        <f>Cleaned_Prepared_Data!L168</f>
        <v>4</v>
      </c>
      <c r="M168" s="2">
        <f t="shared" si="6"/>
        <v>0</v>
      </c>
      <c r="N168" s="2">
        <f t="shared" si="7"/>
        <v>0</v>
      </c>
      <c r="O168" s="2">
        <f t="shared" si="8"/>
        <v>1</v>
      </c>
    </row>
    <row r="169" spans="1:15" x14ac:dyDescent="0.35">
      <c r="A169" s="2" t="str">
        <f>Cleaned_Prepared_Data!A169</f>
        <v>STR-1042</v>
      </c>
      <c r="B169" s="2" t="str">
        <f>Cleaned_Prepared_Data!P169</f>
        <v>2025-04</v>
      </c>
      <c r="C169" s="2" t="str">
        <f>Cleaned_Prepared_Data!C169</f>
        <v>North</v>
      </c>
      <c r="D169" s="2" t="str">
        <f>Cleaned_Prepared_Data!D169</f>
        <v>Mall</v>
      </c>
      <c r="E169" s="2">
        <f>Cleaned_Prepared_Data!M169</f>
        <v>820729.29</v>
      </c>
      <c r="F169" s="2">
        <f>Cleaned_Prepared_Data!E169</f>
        <v>78432.14</v>
      </c>
      <c r="G169" s="2">
        <f>Cleaned_Prepared_Data!F169</f>
        <v>9440</v>
      </c>
      <c r="H169" s="2">
        <f>Cleaned_Prepared_Data!G169</f>
        <v>0.126</v>
      </c>
      <c r="I169" s="2">
        <f>Cleaned_Prepared_Data!H169</f>
        <v>23</v>
      </c>
      <c r="J169" s="2">
        <f>Cleaned_Prepared_Data!I169</f>
        <v>89.2</v>
      </c>
      <c r="K169" s="2">
        <f>Cleaned_Prepared_Data!K169</f>
        <v>0</v>
      </c>
      <c r="L169" s="2">
        <f>Cleaned_Prepared_Data!L169</f>
        <v>4.0999999999999996</v>
      </c>
      <c r="M169" s="2">
        <f t="shared" si="6"/>
        <v>0</v>
      </c>
      <c r="N169" s="2">
        <f t="shared" si="7"/>
        <v>0</v>
      </c>
      <c r="O169" s="2">
        <f t="shared" si="8"/>
        <v>1</v>
      </c>
    </row>
    <row r="170" spans="1:15" x14ac:dyDescent="0.35">
      <c r="A170" s="2" t="str">
        <f>Cleaned_Prepared_Data!A170</f>
        <v>STR-1043</v>
      </c>
      <c r="B170" s="2" t="str">
        <f>Cleaned_Prepared_Data!P170</f>
        <v>2025-01</v>
      </c>
      <c r="C170" s="2" t="str">
        <f>Cleaned_Prepared_Data!C170</f>
        <v>East</v>
      </c>
      <c r="D170" s="2" t="str">
        <f>Cleaned_Prepared_Data!D170</f>
        <v>Residential</v>
      </c>
      <c r="E170" s="2">
        <f>Cleaned_Prepared_Data!M170</f>
        <v>739831.73</v>
      </c>
      <c r="F170" s="2">
        <f>Cleaned_Prepared_Data!E170</f>
        <v>62059.18</v>
      </c>
      <c r="G170" s="2">
        <f>Cleaned_Prepared_Data!F170</f>
        <v>9374</v>
      </c>
      <c r="H170" s="2">
        <f>Cleaned_Prepared_Data!G170</f>
        <v>0.13600000000000001</v>
      </c>
      <c r="I170" s="2">
        <f>Cleaned_Prepared_Data!H170</f>
        <v>25</v>
      </c>
      <c r="J170" s="2">
        <f>Cleaned_Prepared_Data!I170</f>
        <v>87.1</v>
      </c>
      <c r="K170" s="2">
        <f>Cleaned_Prepared_Data!K170</f>
        <v>0</v>
      </c>
      <c r="L170" s="2">
        <f>Cleaned_Prepared_Data!L170</f>
        <v>4.9000000000000004</v>
      </c>
      <c r="M170" s="2">
        <f t="shared" si="6"/>
        <v>0</v>
      </c>
      <c r="N170" s="2">
        <f t="shared" si="7"/>
        <v>0</v>
      </c>
      <c r="O170" s="2">
        <f t="shared" si="8"/>
        <v>0</v>
      </c>
    </row>
    <row r="171" spans="1:15" x14ac:dyDescent="0.35">
      <c r="A171" s="2" t="str">
        <f>Cleaned_Prepared_Data!A171</f>
        <v>STR-1043</v>
      </c>
      <c r="B171" s="2" t="str">
        <f>Cleaned_Prepared_Data!P171</f>
        <v>2025-02</v>
      </c>
      <c r="C171" s="2" t="str">
        <f>Cleaned_Prepared_Data!C171</f>
        <v>East</v>
      </c>
      <c r="D171" s="2" t="str">
        <f>Cleaned_Prepared_Data!D171</f>
        <v>Residential</v>
      </c>
      <c r="E171" s="2">
        <f>Cleaned_Prepared_Data!M171</f>
        <v>593637.14</v>
      </c>
      <c r="F171" s="2">
        <f>Cleaned_Prepared_Data!E171</f>
        <v>32834.480000000003</v>
      </c>
      <c r="G171" s="2">
        <f>Cleaned_Prepared_Data!F171</f>
        <v>7576</v>
      </c>
      <c r="H171" s="2">
        <f>Cleaned_Prepared_Data!G171</f>
        <v>9.9000000000000005E-2</v>
      </c>
      <c r="I171" s="2">
        <f>Cleaned_Prepared_Data!H171</f>
        <v>15</v>
      </c>
      <c r="J171" s="2">
        <f>Cleaned_Prepared_Data!I171</f>
        <v>84.1</v>
      </c>
      <c r="K171" s="2">
        <f>Cleaned_Prepared_Data!K171</f>
        <v>0</v>
      </c>
      <c r="L171" s="2">
        <f>Cleaned_Prepared_Data!L171</f>
        <v>5</v>
      </c>
      <c r="M171" s="2">
        <f t="shared" si="6"/>
        <v>0</v>
      </c>
      <c r="N171" s="2">
        <f t="shared" si="7"/>
        <v>0</v>
      </c>
      <c r="O171" s="2">
        <f t="shared" si="8"/>
        <v>0</v>
      </c>
    </row>
    <row r="172" spans="1:15" x14ac:dyDescent="0.35">
      <c r="A172" s="2" t="str">
        <f>Cleaned_Prepared_Data!A172</f>
        <v>STR-1043</v>
      </c>
      <c r="B172" s="2" t="str">
        <f>Cleaned_Prepared_Data!P172</f>
        <v>2025-03</v>
      </c>
      <c r="C172" s="2" t="str">
        <f>Cleaned_Prepared_Data!C172</f>
        <v>East</v>
      </c>
      <c r="D172" s="2" t="str">
        <f>Cleaned_Prepared_Data!D172</f>
        <v>Residential</v>
      </c>
      <c r="E172" s="2">
        <f>Cleaned_Prepared_Data!M172</f>
        <v>769702.76</v>
      </c>
      <c r="F172" s="2">
        <f>Cleaned_Prepared_Data!E172</f>
        <v>50825.08</v>
      </c>
      <c r="G172" s="2">
        <f>Cleaned_Prepared_Data!F172</f>
        <v>8949</v>
      </c>
      <c r="H172" s="2">
        <f>Cleaned_Prepared_Data!G172</f>
        <v>0.157</v>
      </c>
      <c r="I172" s="2">
        <f>Cleaned_Prepared_Data!H172</f>
        <v>21</v>
      </c>
      <c r="J172" s="2">
        <f>Cleaned_Prepared_Data!I172</f>
        <v>84.7</v>
      </c>
      <c r="K172" s="2">
        <f>Cleaned_Prepared_Data!K172</f>
        <v>0</v>
      </c>
      <c r="L172" s="2">
        <f>Cleaned_Prepared_Data!L172</f>
        <v>4.9000000000000004</v>
      </c>
      <c r="M172" s="2">
        <f t="shared" si="6"/>
        <v>0</v>
      </c>
      <c r="N172" s="2">
        <f t="shared" si="7"/>
        <v>0</v>
      </c>
      <c r="O172" s="2">
        <f t="shared" si="8"/>
        <v>0</v>
      </c>
    </row>
    <row r="173" spans="1:15" x14ac:dyDescent="0.35">
      <c r="A173" s="2" t="str">
        <f>Cleaned_Prepared_Data!A173</f>
        <v>STR-1043</v>
      </c>
      <c r="B173" s="2" t="str">
        <f>Cleaned_Prepared_Data!P173</f>
        <v>2025-04</v>
      </c>
      <c r="C173" s="2" t="str">
        <f>Cleaned_Prepared_Data!C173</f>
        <v>East</v>
      </c>
      <c r="D173" s="2" t="str">
        <f>Cleaned_Prepared_Data!D173</f>
        <v>Residential</v>
      </c>
      <c r="E173" s="2">
        <f>Cleaned_Prepared_Data!M173</f>
        <v>679731.57</v>
      </c>
      <c r="F173" s="2">
        <f>Cleaned_Prepared_Data!E173</f>
        <v>36606.51</v>
      </c>
      <c r="G173" s="2">
        <f>Cleaned_Prepared_Data!F173</f>
        <v>7671</v>
      </c>
      <c r="H173" s="2">
        <f>Cleaned_Prepared_Data!G173</f>
        <v>0.11799999999999999</v>
      </c>
      <c r="I173" s="2">
        <f>Cleaned_Prepared_Data!H173</f>
        <v>18</v>
      </c>
      <c r="J173" s="2">
        <f>Cleaned_Prepared_Data!I173</f>
        <v>89.8</v>
      </c>
      <c r="K173" s="2">
        <f>Cleaned_Prepared_Data!K173</f>
        <v>0</v>
      </c>
      <c r="L173" s="2">
        <f>Cleaned_Prepared_Data!L173</f>
        <v>4.4000000000000004</v>
      </c>
      <c r="M173" s="2">
        <f t="shared" si="6"/>
        <v>0</v>
      </c>
      <c r="N173" s="2">
        <f t="shared" si="7"/>
        <v>0</v>
      </c>
      <c r="O173" s="2">
        <f t="shared" si="8"/>
        <v>0</v>
      </c>
    </row>
    <row r="174" spans="1:15" x14ac:dyDescent="0.35">
      <c r="A174" s="2" t="str">
        <f>Cleaned_Prepared_Data!A174</f>
        <v>STR-1044</v>
      </c>
      <c r="B174" s="2" t="str">
        <f>Cleaned_Prepared_Data!P174</f>
        <v>2025-01</v>
      </c>
      <c r="C174" s="2" t="str">
        <f>Cleaned_Prepared_Data!C174</f>
        <v>East</v>
      </c>
      <c r="D174" s="2" t="str">
        <f>Cleaned_Prepared_Data!D174</f>
        <v>Residential</v>
      </c>
      <c r="E174" s="2">
        <f>Cleaned_Prepared_Data!M174</f>
        <v>780344.18</v>
      </c>
      <c r="F174" s="2">
        <f>Cleaned_Prepared_Data!E174</f>
        <v>65237.79</v>
      </c>
      <c r="G174" s="2">
        <f>Cleaned_Prepared_Data!F174</f>
        <v>8741</v>
      </c>
      <c r="H174" s="2">
        <f>Cleaned_Prepared_Data!G174</f>
        <v>0.157</v>
      </c>
      <c r="I174" s="2">
        <f>Cleaned_Prepared_Data!H174</f>
        <v>20</v>
      </c>
      <c r="J174" s="2">
        <f>Cleaned_Prepared_Data!I174</f>
        <v>94.4</v>
      </c>
      <c r="K174" s="2">
        <f>Cleaned_Prepared_Data!K174</f>
        <v>0</v>
      </c>
      <c r="L174" s="2">
        <f>Cleaned_Prepared_Data!L174</f>
        <v>3.3</v>
      </c>
      <c r="M174" s="2">
        <f t="shared" si="6"/>
        <v>0</v>
      </c>
      <c r="N174" s="2">
        <f t="shared" si="7"/>
        <v>0</v>
      </c>
      <c r="O174" s="2">
        <f t="shared" si="8"/>
        <v>0</v>
      </c>
    </row>
    <row r="175" spans="1:15" x14ac:dyDescent="0.35">
      <c r="A175" s="2" t="str">
        <f>Cleaned_Prepared_Data!A175</f>
        <v>STR-1044</v>
      </c>
      <c r="B175" s="2" t="str">
        <f>Cleaned_Prepared_Data!P175</f>
        <v>2025-02</v>
      </c>
      <c r="C175" s="2" t="str">
        <f>Cleaned_Prepared_Data!C175</f>
        <v>East</v>
      </c>
      <c r="D175" s="2" t="str">
        <f>Cleaned_Prepared_Data!D175</f>
        <v>Residential</v>
      </c>
      <c r="E175" s="2">
        <f>Cleaned_Prepared_Data!M175</f>
        <v>721364.11</v>
      </c>
      <c r="F175" s="2">
        <f>Cleaned_Prepared_Data!E175</f>
        <v>43645.98</v>
      </c>
      <c r="G175" s="2">
        <f>Cleaned_Prepared_Data!F175</f>
        <v>9480</v>
      </c>
      <c r="H175" s="2">
        <f>Cleaned_Prepared_Data!G175</f>
        <v>0.109</v>
      </c>
      <c r="I175" s="2">
        <f>Cleaned_Prepared_Data!H175</f>
        <v>22</v>
      </c>
      <c r="J175" s="2">
        <f>Cleaned_Prepared_Data!I175</f>
        <v>89</v>
      </c>
      <c r="K175" s="2">
        <f>Cleaned_Prepared_Data!K175</f>
        <v>0</v>
      </c>
      <c r="L175" s="2">
        <f>Cleaned_Prepared_Data!L175</f>
        <v>3.1</v>
      </c>
      <c r="M175" s="2">
        <f t="shared" si="6"/>
        <v>0</v>
      </c>
      <c r="N175" s="2">
        <f t="shared" si="7"/>
        <v>0</v>
      </c>
      <c r="O175" s="2">
        <f t="shared" si="8"/>
        <v>0</v>
      </c>
    </row>
    <row r="176" spans="1:15" x14ac:dyDescent="0.35">
      <c r="A176" s="2" t="str">
        <f>Cleaned_Prepared_Data!A176</f>
        <v>STR-1044</v>
      </c>
      <c r="B176" s="2" t="str">
        <f>Cleaned_Prepared_Data!P176</f>
        <v>2025-03</v>
      </c>
      <c r="C176" s="2" t="str">
        <f>Cleaned_Prepared_Data!C176</f>
        <v>East</v>
      </c>
      <c r="D176" s="2" t="str">
        <f>Cleaned_Prepared_Data!D176</f>
        <v>Residential</v>
      </c>
      <c r="E176" s="2">
        <f>Cleaned_Prepared_Data!M176</f>
        <v>758138.29</v>
      </c>
      <c r="F176" s="2">
        <f>Cleaned_Prepared_Data!E176</f>
        <v>68040.149999999994</v>
      </c>
      <c r="G176" s="2">
        <f>Cleaned_Prepared_Data!F176</f>
        <v>9826</v>
      </c>
      <c r="H176" s="2">
        <f>Cleaned_Prepared_Data!G176</f>
        <v>0.125</v>
      </c>
      <c r="I176" s="2">
        <f>Cleaned_Prepared_Data!H176</f>
        <v>20</v>
      </c>
      <c r="J176" s="2">
        <f>Cleaned_Prepared_Data!I176</f>
        <v>83.9</v>
      </c>
      <c r="K176" s="2">
        <f>Cleaned_Prepared_Data!K176</f>
        <v>0</v>
      </c>
      <c r="L176" s="2">
        <f>Cleaned_Prepared_Data!L176</f>
        <v>3.6</v>
      </c>
      <c r="M176" s="2">
        <f t="shared" si="6"/>
        <v>0</v>
      </c>
      <c r="N176" s="2">
        <f t="shared" si="7"/>
        <v>0</v>
      </c>
      <c r="O176" s="2">
        <f t="shared" si="8"/>
        <v>0</v>
      </c>
    </row>
    <row r="177" spans="1:15" x14ac:dyDescent="0.35">
      <c r="A177" s="2" t="str">
        <f>Cleaned_Prepared_Data!A177</f>
        <v>STR-1044</v>
      </c>
      <c r="B177" s="2" t="str">
        <f>Cleaned_Prepared_Data!P177</f>
        <v>2025-04</v>
      </c>
      <c r="C177" s="2" t="str">
        <f>Cleaned_Prepared_Data!C177</f>
        <v>East</v>
      </c>
      <c r="D177" s="2" t="str">
        <f>Cleaned_Prepared_Data!D177</f>
        <v>Residential</v>
      </c>
      <c r="E177" s="2">
        <f>Cleaned_Prepared_Data!M177</f>
        <v>804264</v>
      </c>
      <c r="F177" s="2">
        <f>Cleaned_Prepared_Data!E177</f>
        <v>63043.94</v>
      </c>
      <c r="G177" s="2">
        <f>Cleaned_Prepared_Data!F177</f>
        <v>10402</v>
      </c>
      <c r="H177" s="2">
        <f>Cleaned_Prepared_Data!G177</f>
        <v>0.159</v>
      </c>
      <c r="I177" s="2">
        <f>Cleaned_Prepared_Data!H177</f>
        <v>23</v>
      </c>
      <c r="J177" s="2">
        <f>Cleaned_Prepared_Data!I177</f>
        <v>93.9</v>
      </c>
      <c r="K177" s="2">
        <f>Cleaned_Prepared_Data!K177</f>
        <v>0</v>
      </c>
      <c r="L177" s="2">
        <f>Cleaned_Prepared_Data!L177</f>
        <v>3.1</v>
      </c>
      <c r="M177" s="2">
        <f t="shared" si="6"/>
        <v>0</v>
      </c>
      <c r="N177" s="2">
        <f t="shared" si="7"/>
        <v>0</v>
      </c>
      <c r="O177" s="2">
        <f t="shared" si="8"/>
        <v>0</v>
      </c>
    </row>
    <row r="178" spans="1:15" x14ac:dyDescent="0.35">
      <c r="A178" s="2" t="str">
        <f>Cleaned_Prepared_Data!A178</f>
        <v>STR-1045</v>
      </c>
      <c r="B178" s="2" t="str">
        <f>Cleaned_Prepared_Data!P178</f>
        <v>2025-01</v>
      </c>
      <c r="C178" s="2" t="str">
        <f>Cleaned_Prepared_Data!C178</f>
        <v>West</v>
      </c>
      <c r="D178" s="2" t="str">
        <f>Cleaned_Prepared_Data!D178</f>
        <v>Airport</v>
      </c>
      <c r="E178" s="2">
        <f>Cleaned_Prepared_Data!M178</f>
        <v>887537.75</v>
      </c>
      <c r="F178" s="2">
        <f>Cleaned_Prepared_Data!E178</f>
        <v>67494.09</v>
      </c>
      <c r="G178" s="2">
        <f>Cleaned_Prepared_Data!F178</f>
        <v>12361</v>
      </c>
      <c r="H178" s="2">
        <f>Cleaned_Prepared_Data!G178</f>
        <v>4.5999999999999999E-2</v>
      </c>
      <c r="I178" s="2">
        <f>Cleaned_Prepared_Data!H178</f>
        <v>24</v>
      </c>
      <c r="J178" s="2">
        <f>Cleaned_Prepared_Data!I178</f>
        <v>76.599999999999994</v>
      </c>
      <c r="K178" s="2">
        <f>Cleaned_Prepared_Data!K178</f>
        <v>1</v>
      </c>
      <c r="L178" s="2">
        <f>Cleaned_Prepared_Data!L178</f>
        <v>3.7</v>
      </c>
      <c r="M178" s="2">
        <f t="shared" si="6"/>
        <v>1</v>
      </c>
      <c r="N178" s="2">
        <f t="shared" si="7"/>
        <v>0</v>
      </c>
      <c r="O178" s="2">
        <f t="shared" si="8"/>
        <v>0</v>
      </c>
    </row>
    <row r="179" spans="1:15" x14ac:dyDescent="0.35">
      <c r="A179" s="2" t="str">
        <f>Cleaned_Prepared_Data!A179</f>
        <v>STR-1045</v>
      </c>
      <c r="B179" s="2" t="str">
        <f>Cleaned_Prepared_Data!P179</f>
        <v>2025-02</v>
      </c>
      <c r="C179" s="2" t="str">
        <f>Cleaned_Prepared_Data!C179</f>
        <v>West</v>
      </c>
      <c r="D179" s="2" t="str">
        <f>Cleaned_Prepared_Data!D179</f>
        <v>Airport</v>
      </c>
      <c r="E179" s="2">
        <f>Cleaned_Prepared_Data!M179</f>
        <v>783582</v>
      </c>
      <c r="F179" s="2">
        <f>Cleaned_Prepared_Data!E179</f>
        <v>29389.32</v>
      </c>
      <c r="G179" s="2">
        <f>Cleaned_Prepared_Data!F179</f>
        <v>7925</v>
      </c>
      <c r="H179" s="2">
        <f>Cleaned_Prepared_Data!G179</f>
        <v>0.17699999999999999</v>
      </c>
      <c r="I179" s="2">
        <f>Cleaned_Prepared_Data!H179</f>
        <v>21</v>
      </c>
      <c r="J179" s="2">
        <f>Cleaned_Prepared_Data!I179</f>
        <v>90.9</v>
      </c>
      <c r="K179" s="2">
        <f>Cleaned_Prepared_Data!K179</f>
        <v>0</v>
      </c>
      <c r="L179" s="2">
        <f>Cleaned_Prepared_Data!L179</f>
        <v>4</v>
      </c>
      <c r="M179" s="2">
        <f t="shared" si="6"/>
        <v>1</v>
      </c>
      <c r="N179" s="2">
        <f t="shared" si="7"/>
        <v>0</v>
      </c>
      <c r="O179" s="2">
        <f t="shared" si="8"/>
        <v>0</v>
      </c>
    </row>
    <row r="180" spans="1:15" x14ac:dyDescent="0.35">
      <c r="A180" s="2" t="str">
        <f>Cleaned_Prepared_Data!A180</f>
        <v>STR-1045</v>
      </c>
      <c r="B180" s="2" t="str">
        <f>Cleaned_Prepared_Data!P180</f>
        <v>2025-03</v>
      </c>
      <c r="C180" s="2" t="str">
        <f>Cleaned_Prepared_Data!C180</f>
        <v>West</v>
      </c>
      <c r="D180" s="2" t="str">
        <f>Cleaned_Prepared_Data!D180</f>
        <v>Airport</v>
      </c>
      <c r="E180" s="2">
        <f>Cleaned_Prepared_Data!M180</f>
        <v>781955.52</v>
      </c>
      <c r="F180" s="2">
        <f>Cleaned_Prepared_Data!E180</f>
        <v>40535.089999999997</v>
      </c>
      <c r="G180" s="2">
        <f>Cleaned_Prepared_Data!F180</f>
        <v>8870</v>
      </c>
      <c r="H180" s="2">
        <f>Cleaned_Prepared_Data!G180</f>
        <v>4.1000000000000002E-2</v>
      </c>
      <c r="I180" s="2">
        <f>Cleaned_Prepared_Data!H180</f>
        <v>21</v>
      </c>
      <c r="J180" s="2">
        <f>Cleaned_Prepared_Data!I180</f>
        <v>86.6</v>
      </c>
      <c r="K180" s="2">
        <f>Cleaned_Prepared_Data!K180</f>
        <v>0</v>
      </c>
      <c r="L180" s="2">
        <f>Cleaned_Prepared_Data!L180</f>
        <v>4.0999999999999996</v>
      </c>
      <c r="M180" s="2">
        <f t="shared" si="6"/>
        <v>1</v>
      </c>
      <c r="N180" s="2">
        <f t="shared" si="7"/>
        <v>0</v>
      </c>
      <c r="O180" s="2">
        <f t="shared" si="8"/>
        <v>0</v>
      </c>
    </row>
    <row r="181" spans="1:15" x14ac:dyDescent="0.35">
      <c r="A181" s="2" t="str">
        <f>Cleaned_Prepared_Data!A181</f>
        <v>STR-1045</v>
      </c>
      <c r="B181" s="2" t="str">
        <f>Cleaned_Prepared_Data!P181</f>
        <v>2025-04</v>
      </c>
      <c r="C181" s="2" t="str">
        <f>Cleaned_Prepared_Data!C181</f>
        <v>West</v>
      </c>
      <c r="D181" s="2" t="str">
        <f>Cleaned_Prepared_Data!D181</f>
        <v>Airport</v>
      </c>
      <c r="E181" s="2">
        <f>Cleaned_Prepared_Data!M181</f>
        <v>898031.04</v>
      </c>
      <c r="F181" s="2">
        <f>Cleaned_Prepared_Data!E181</f>
        <v>74881.56</v>
      </c>
      <c r="G181" s="2">
        <f>Cleaned_Prepared_Data!F181</f>
        <v>9999</v>
      </c>
      <c r="H181" s="2">
        <f>Cleaned_Prepared_Data!G181</f>
        <v>1.2999999999999999E-2</v>
      </c>
      <c r="I181" s="2">
        <f>Cleaned_Prepared_Data!H181</f>
        <v>20</v>
      </c>
      <c r="J181" s="2">
        <f>Cleaned_Prepared_Data!I181</f>
        <v>89.6</v>
      </c>
      <c r="K181" s="2">
        <f>Cleaned_Prepared_Data!K181</f>
        <v>0</v>
      </c>
      <c r="L181" s="2">
        <f>Cleaned_Prepared_Data!L181</f>
        <v>4.0999999999999996</v>
      </c>
      <c r="M181" s="2">
        <f t="shared" si="6"/>
        <v>1</v>
      </c>
      <c r="N181" s="2">
        <f t="shared" si="7"/>
        <v>0</v>
      </c>
      <c r="O181" s="2">
        <f t="shared" si="8"/>
        <v>0</v>
      </c>
    </row>
    <row r="182" spans="1:15" x14ac:dyDescent="0.35">
      <c r="A182" s="2" t="str">
        <f>Cleaned_Prepared_Data!A182</f>
        <v>STR-1046</v>
      </c>
      <c r="B182" s="2" t="str">
        <f>Cleaned_Prepared_Data!P182</f>
        <v>2025-01</v>
      </c>
      <c r="C182" s="2" t="str">
        <f>Cleaned_Prepared_Data!C182</f>
        <v>West</v>
      </c>
      <c r="D182" s="2" t="str">
        <f>Cleaned_Prepared_Data!D182</f>
        <v>Residential</v>
      </c>
      <c r="E182" s="2">
        <f>Cleaned_Prepared_Data!M182</f>
        <v>855341.28</v>
      </c>
      <c r="F182" s="2">
        <f>Cleaned_Prepared_Data!E182</f>
        <v>68491.11</v>
      </c>
      <c r="G182" s="2">
        <f>Cleaned_Prepared_Data!F182</f>
        <v>11154</v>
      </c>
      <c r="H182" s="2">
        <f>Cleaned_Prepared_Data!G182</f>
        <v>1E-3</v>
      </c>
      <c r="I182" s="2">
        <f>Cleaned_Prepared_Data!H182</f>
        <v>24</v>
      </c>
      <c r="J182" s="2">
        <f>Cleaned_Prepared_Data!I182</f>
        <v>89.4</v>
      </c>
      <c r="K182" s="2">
        <f>Cleaned_Prepared_Data!K182</f>
        <v>1</v>
      </c>
      <c r="L182" s="2">
        <f>Cleaned_Prepared_Data!L182</f>
        <v>3.9</v>
      </c>
      <c r="M182" s="2">
        <f t="shared" si="6"/>
        <v>0</v>
      </c>
      <c r="N182" s="2">
        <f t="shared" si="7"/>
        <v>0</v>
      </c>
      <c r="O182" s="2">
        <f t="shared" si="8"/>
        <v>0</v>
      </c>
    </row>
    <row r="183" spans="1:15" x14ac:dyDescent="0.35">
      <c r="A183" s="2" t="str">
        <f>Cleaned_Prepared_Data!A183</f>
        <v>STR-1046</v>
      </c>
      <c r="B183" s="2" t="str">
        <f>Cleaned_Prepared_Data!P183</f>
        <v>2025-02</v>
      </c>
      <c r="C183" s="2" t="str">
        <f>Cleaned_Prepared_Data!C183</f>
        <v>West</v>
      </c>
      <c r="D183" s="2" t="str">
        <f>Cleaned_Prepared_Data!D183</f>
        <v>Residential</v>
      </c>
      <c r="E183" s="2">
        <f>Cleaned_Prepared_Data!M183</f>
        <v>751393.88</v>
      </c>
      <c r="F183" s="2">
        <f>Cleaned_Prepared_Data!E183</f>
        <v>45209.25</v>
      </c>
      <c r="G183" s="2">
        <f>Cleaned_Prepared_Data!F183</f>
        <v>9287</v>
      </c>
      <c r="H183" s="2">
        <f>Cleaned_Prepared_Data!G183</f>
        <v>0.14099999999999999</v>
      </c>
      <c r="I183" s="2">
        <f>Cleaned_Prepared_Data!H183</f>
        <v>22</v>
      </c>
      <c r="J183" s="2">
        <f>Cleaned_Prepared_Data!I183</f>
        <v>86.4</v>
      </c>
      <c r="K183" s="2">
        <f>Cleaned_Prepared_Data!K183</f>
        <v>0</v>
      </c>
      <c r="L183" s="2">
        <f>Cleaned_Prepared_Data!L183</f>
        <v>3.6</v>
      </c>
      <c r="M183" s="2">
        <f t="shared" si="6"/>
        <v>0</v>
      </c>
      <c r="N183" s="2">
        <f t="shared" si="7"/>
        <v>0</v>
      </c>
      <c r="O183" s="2">
        <f t="shared" si="8"/>
        <v>0</v>
      </c>
    </row>
    <row r="184" spans="1:15" x14ac:dyDescent="0.35">
      <c r="A184" s="2" t="str">
        <f>Cleaned_Prepared_Data!A184</f>
        <v>STR-1046</v>
      </c>
      <c r="B184" s="2" t="str">
        <f>Cleaned_Prepared_Data!P184</f>
        <v>2025-03</v>
      </c>
      <c r="C184" s="2" t="str">
        <f>Cleaned_Prepared_Data!C184</f>
        <v>West</v>
      </c>
      <c r="D184" s="2" t="str">
        <f>Cleaned_Prepared_Data!D184</f>
        <v>Residential</v>
      </c>
      <c r="E184" s="2">
        <f>Cleaned_Prepared_Data!M184</f>
        <v>761077.08</v>
      </c>
      <c r="F184" s="2">
        <f>Cleaned_Prepared_Data!E184</f>
        <v>63010.23</v>
      </c>
      <c r="G184" s="2">
        <f>Cleaned_Prepared_Data!F184</f>
        <v>9812</v>
      </c>
      <c r="H184" s="2">
        <f>Cleaned_Prepared_Data!G184</f>
        <v>0.113</v>
      </c>
      <c r="I184" s="2">
        <f>Cleaned_Prepared_Data!H184</f>
        <v>24</v>
      </c>
      <c r="J184" s="2">
        <f>Cleaned_Prepared_Data!I184</f>
        <v>76.8</v>
      </c>
      <c r="K184" s="2">
        <f>Cleaned_Prepared_Data!K184</f>
        <v>1</v>
      </c>
      <c r="L184" s="2">
        <f>Cleaned_Prepared_Data!L184</f>
        <v>3.8</v>
      </c>
      <c r="M184" s="2">
        <f t="shared" si="6"/>
        <v>0</v>
      </c>
      <c r="N184" s="2">
        <f t="shared" si="7"/>
        <v>0</v>
      </c>
      <c r="O184" s="2">
        <f t="shared" si="8"/>
        <v>0</v>
      </c>
    </row>
    <row r="185" spans="1:15" x14ac:dyDescent="0.35">
      <c r="A185" s="2" t="str">
        <f>Cleaned_Prepared_Data!A185</f>
        <v>STR-1046</v>
      </c>
      <c r="B185" s="2" t="str">
        <f>Cleaned_Prepared_Data!P185</f>
        <v>2025-04</v>
      </c>
      <c r="C185" s="2" t="str">
        <f>Cleaned_Prepared_Data!C185</f>
        <v>West</v>
      </c>
      <c r="D185" s="2" t="str">
        <f>Cleaned_Prepared_Data!D185</f>
        <v>Residential</v>
      </c>
      <c r="E185" s="2">
        <f>Cleaned_Prepared_Data!M185</f>
        <v>819660.59</v>
      </c>
      <c r="F185" s="2">
        <f>Cleaned_Prepared_Data!E185</f>
        <v>57948.88</v>
      </c>
      <c r="G185" s="2">
        <f>Cleaned_Prepared_Data!F185</f>
        <v>10741</v>
      </c>
      <c r="H185" s="2">
        <f>Cleaned_Prepared_Data!G185</f>
        <v>7.0000000000000007E-2</v>
      </c>
      <c r="I185" s="2">
        <f>Cleaned_Prepared_Data!H185</f>
        <v>25</v>
      </c>
      <c r="J185" s="2">
        <f>Cleaned_Prepared_Data!I185</f>
        <v>90.1</v>
      </c>
      <c r="K185" s="2">
        <f>Cleaned_Prepared_Data!K185</f>
        <v>0</v>
      </c>
      <c r="L185" s="2">
        <f>Cleaned_Prepared_Data!L185</f>
        <v>3.1</v>
      </c>
      <c r="M185" s="2">
        <f t="shared" si="6"/>
        <v>0</v>
      </c>
      <c r="N185" s="2">
        <f t="shared" si="7"/>
        <v>0</v>
      </c>
      <c r="O185" s="2">
        <f t="shared" si="8"/>
        <v>0</v>
      </c>
    </row>
    <row r="186" spans="1:15" x14ac:dyDescent="0.35">
      <c r="A186" s="2" t="str">
        <f>Cleaned_Prepared_Data!A186</f>
        <v>STR-1047</v>
      </c>
      <c r="B186" s="2" t="str">
        <f>Cleaned_Prepared_Data!P186</f>
        <v>2025-01</v>
      </c>
      <c r="C186" s="2" t="str">
        <f>Cleaned_Prepared_Data!C186</f>
        <v>North</v>
      </c>
      <c r="D186" s="2" t="str">
        <f>Cleaned_Prepared_Data!D186</f>
        <v>High Street</v>
      </c>
      <c r="E186" s="2">
        <f>Cleaned_Prepared_Data!M186</f>
        <v>681855.56</v>
      </c>
      <c r="F186" s="2">
        <f>Cleaned_Prepared_Data!E186</f>
        <v>71941.62</v>
      </c>
      <c r="G186" s="2">
        <f>Cleaned_Prepared_Data!F186</f>
        <v>6084</v>
      </c>
      <c r="H186" s="2">
        <f>Cleaned_Prepared_Data!G186</f>
        <v>7.1999999999999995E-2</v>
      </c>
      <c r="I186" s="2">
        <f>Cleaned_Prepared_Data!H186</f>
        <v>13</v>
      </c>
      <c r="J186" s="2">
        <f>Cleaned_Prepared_Data!I186</f>
        <v>93.7</v>
      </c>
      <c r="K186" s="2">
        <f>Cleaned_Prepared_Data!K186</f>
        <v>0</v>
      </c>
      <c r="L186" s="2">
        <f>Cleaned_Prepared_Data!L186</f>
        <v>4.4000000000000004</v>
      </c>
      <c r="M186" s="2">
        <f t="shared" si="6"/>
        <v>0</v>
      </c>
      <c r="N186" s="2">
        <f t="shared" si="7"/>
        <v>1</v>
      </c>
      <c r="O186" s="2">
        <f t="shared" si="8"/>
        <v>0</v>
      </c>
    </row>
    <row r="187" spans="1:15" x14ac:dyDescent="0.35">
      <c r="A187" s="2" t="str">
        <f>Cleaned_Prepared_Data!A187</f>
        <v>STR-1047</v>
      </c>
      <c r="B187" s="2" t="str">
        <f>Cleaned_Prepared_Data!P187</f>
        <v>2025-02</v>
      </c>
      <c r="C187" s="2" t="str">
        <f>Cleaned_Prepared_Data!C187</f>
        <v>North</v>
      </c>
      <c r="D187" s="2" t="str">
        <f>Cleaned_Prepared_Data!D187</f>
        <v>High Street</v>
      </c>
      <c r="E187" s="2">
        <f>Cleaned_Prepared_Data!M187</f>
        <v>678311.17</v>
      </c>
      <c r="F187" s="2">
        <f>Cleaned_Prepared_Data!E187</f>
        <v>57147.88</v>
      </c>
      <c r="G187" s="2">
        <f>Cleaned_Prepared_Data!F187</f>
        <v>5252</v>
      </c>
      <c r="H187" s="2">
        <f>Cleaned_Prepared_Data!G187</f>
        <v>0.161</v>
      </c>
      <c r="I187" s="2">
        <f>Cleaned_Prepared_Data!H187</f>
        <v>15</v>
      </c>
      <c r="J187" s="2">
        <f>Cleaned_Prepared_Data!I187</f>
        <v>95.5</v>
      </c>
      <c r="K187" s="2">
        <f>Cleaned_Prepared_Data!K187</f>
        <v>0</v>
      </c>
      <c r="L187" s="2">
        <f>Cleaned_Prepared_Data!L187</f>
        <v>4.4000000000000004</v>
      </c>
      <c r="M187" s="2">
        <f t="shared" si="6"/>
        <v>0</v>
      </c>
      <c r="N187" s="2">
        <f t="shared" si="7"/>
        <v>1</v>
      </c>
      <c r="O187" s="2">
        <f t="shared" si="8"/>
        <v>0</v>
      </c>
    </row>
    <row r="188" spans="1:15" x14ac:dyDescent="0.35">
      <c r="A188" s="2" t="str">
        <f>Cleaned_Prepared_Data!A188</f>
        <v>STR-1047</v>
      </c>
      <c r="B188" s="2" t="str">
        <f>Cleaned_Prepared_Data!P188</f>
        <v>2025-03</v>
      </c>
      <c r="C188" s="2" t="str">
        <f>Cleaned_Prepared_Data!C188</f>
        <v>North</v>
      </c>
      <c r="D188" s="2" t="str">
        <f>Cleaned_Prepared_Data!D188</f>
        <v>High Street</v>
      </c>
      <c r="E188" s="2">
        <f>Cleaned_Prepared_Data!M188</f>
        <v>765906.95</v>
      </c>
      <c r="F188" s="2">
        <f>Cleaned_Prepared_Data!E188</f>
        <v>48031.74</v>
      </c>
      <c r="G188" s="2">
        <f>Cleaned_Prepared_Data!F188</f>
        <v>6516</v>
      </c>
      <c r="H188" s="2">
        <f>Cleaned_Prepared_Data!G188</f>
        <v>6.7000000000000004E-2</v>
      </c>
      <c r="I188" s="2">
        <f>Cleaned_Prepared_Data!H188</f>
        <v>14</v>
      </c>
      <c r="J188" s="2">
        <f>Cleaned_Prepared_Data!I188</f>
        <v>99</v>
      </c>
      <c r="K188" s="2">
        <f>Cleaned_Prepared_Data!K188</f>
        <v>1</v>
      </c>
      <c r="L188" s="2">
        <f>Cleaned_Prepared_Data!L188</f>
        <v>4.3</v>
      </c>
      <c r="M188" s="2">
        <f t="shared" si="6"/>
        <v>0</v>
      </c>
      <c r="N188" s="2">
        <f t="shared" si="7"/>
        <v>1</v>
      </c>
      <c r="O188" s="2">
        <f t="shared" si="8"/>
        <v>0</v>
      </c>
    </row>
    <row r="189" spans="1:15" x14ac:dyDescent="0.35">
      <c r="A189" s="2" t="str">
        <f>Cleaned_Prepared_Data!A189</f>
        <v>STR-1047</v>
      </c>
      <c r="B189" s="2" t="str">
        <f>Cleaned_Prepared_Data!P189</f>
        <v>2025-04</v>
      </c>
      <c r="C189" s="2" t="str">
        <f>Cleaned_Prepared_Data!C189</f>
        <v>North</v>
      </c>
      <c r="D189" s="2" t="str">
        <f>Cleaned_Prepared_Data!D189</f>
        <v>High Street</v>
      </c>
      <c r="E189" s="2">
        <f>Cleaned_Prepared_Data!M189</f>
        <v>712546.38</v>
      </c>
      <c r="F189" s="2">
        <f>Cleaned_Prepared_Data!E189</f>
        <v>72784.800000000003</v>
      </c>
      <c r="G189" s="2">
        <f>Cleaned_Prepared_Data!F189</f>
        <v>7932</v>
      </c>
      <c r="H189" s="2">
        <f>Cleaned_Prepared_Data!G189</f>
        <v>9.4E-2</v>
      </c>
      <c r="I189" s="2">
        <f>Cleaned_Prepared_Data!H189</f>
        <v>20</v>
      </c>
      <c r="J189" s="2">
        <f>Cleaned_Prepared_Data!I189</f>
        <v>74.900000000000006</v>
      </c>
      <c r="K189" s="2">
        <f>Cleaned_Prepared_Data!K189</f>
        <v>0</v>
      </c>
      <c r="L189" s="2">
        <f>Cleaned_Prepared_Data!L189</f>
        <v>4.2</v>
      </c>
      <c r="M189" s="2">
        <f t="shared" si="6"/>
        <v>0</v>
      </c>
      <c r="N189" s="2">
        <f t="shared" si="7"/>
        <v>1</v>
      </c>
      <c r="O189" s="2">
        <f t="shared" si="8"/>
        <v>0</v>
      </c>
    </row>
    <row r="190" spans="1:15" x14ac:dyDescent="0.35">
      <c r="A190" s="2" t="str">
        <f>Cleaned_Prepared_Data!A190</f>
        <v>STR-1048</v>
      </c>
      <c r="B190" s="2" t="str">
        <f>Cleaned_Prepared_Data!P190</f>
        <v>2025-01</v>
      </c>
      <c r="C190" s="2" t="str">
        <f>Cleaned_Prepared_Data!C190</f>
        <v>East</v>
      </c>
      <c r="D190" s="2" t="str">
        <f>Cleaned_Prepared_Data!D190</f>
        <v>High Street</v>
      </c>
      <c r="E190" s="2">
        <f>Cleaned_Prepared_Data!M190</f>
        <v>625993.82999999996</v>
      </c>
      <c r="F190" s="2">
        <f>Cleaned_Prepared_Data!E190</f>
        <v>71641.899999999994</v>
      </c>
      <c r="G190" s="2">
        <f>Cleaned_Prepared_Data!F190</f>
        <v>3506</v>
      </c>
      <c r="H190" s="2">
        <f>Cleaned_Prepared_Data!G190</f>
        <v>0</v>
      </c>
      <c r="I190" s="2">
        <f>Cleaned_Prepared_Data!H190</f>
        <v>11</v>
      </c>
      <c r="J190" s="2">
        <f>Cleaned_Prepared_Data!I190</f>
        <v>86.4</v>
      </c>
      <c r="K190" s="2">
        <f>Cleaned_Prepared_Data!K190</f>
        <v>0</v>
      </c>
      <c r="L190" s="2">
        <f>Cleaned_Prepared_Data!L190</f>
        <v>4.0999999999999996</v>
      </c>
      <c r="M190" s="2">
        <f t="shared" si="6"/>
        <v>0</v>
      </c>
      <c r="N190" s="2">
        <f t="shared" si="7"/>
        <v>1</v>
      </c>
      <c r="O190" s="2">
        <f t="shared" si="8"/>
        <v>0</v>
      </c>
    </row>
    <row r="191" spans="1:15" x14ac:dyDescent="0.35">
      <c r="A191" s="2" t="str">
        <f>Cleaned_Prepared_Data!A191</f>
        <v>STR-1048</v>
      </c>
      <c r="B191" s="2" t="str">
        <f>Cleaned_Prepared_Data!P191</f>
        <v>2025-02</v>
      </c>
      <c r="C191" s="2" t="str">
        <f>Cleaned_Prepared_Data!C191</f>
        <v>East</v>
      </c>
      <c r="D191" s="2" t="str">
        <f>Cleaned_Prepared_Data!D191</f>
        <v>High Street</v>
      </c>
      <c r="E191" s="2">
        <f>Cleaned_Prepared_Data!M191</f>
        <v>550962.93000000005</v>
      </c>
      <c r="F191" s="2">
        <f>Cleaned_Prepared_Data!E191</f>
        <v>55788.61</v>
      </c>
      <c r="G191" s="2">
        <f>Cleaned_Prepared_Data!F191</f>
        <v>2312</v>
      </c>
      <c r="H191" s="2">
        <f>Cleaned_Prepared_Data!G191</f>
        <v>5.8000000000000003E-2</v>
      </c>
      <c r="I191" s="2">
        <f>Cleaned_Prepared_Data!H191</f>
        <v>10</v>
      </c>
      <c r="J191" s="2">
        <f>Cleaned_Prepared_Data!I191</f>
        <v>91.3</v>
      </c>
      <c r="K191" s="2">
        <f>Cleaned_Prepared_Data!K191</f>
        <v>0</v>
      </c>
      <c r="L191" s="2">
        <f>Cleaned_Prepared_Data!L191</f>
        <v>3.8</v>
      </c>
      <c r="M191" s="2">
        <f t="shared" si="6"/>
        <v>0</v>
      </c>
      <c r="N191" s="2">
        <f t="shared" si="7"/>
        <v>1</v>
      </c>
      <c r="O191" s="2">
        <f t="shared" si="8"/>
        <v>0</v>
      </c>
    </row>
    <row r="192" spans="1:15" x14ac:dyDescent="0.35">
      <c r="A192" s="2" t="str">
        <f>Cleaned_Prepared_Data!A192</f>
        <v>STR-1048</v>
      </c>
      <c r="B192" s="2" t="str">
        <f>Cleaned_Prepared_Data!P192</f>
        <v>2025-03</v>
      </c>
      <c r="C192" s="2" t="str">
        <f>Cleaned_Prepared_Data!C192</f>
        <v>East</v>
      </c>
      <c r="D192" s="2" t="str">
        <f>Cleaned_Prepared_Data!D192</f>
        <v>High Street</v>
      </c>
      <c r="E192" s="2">
        <f>Cleaned_Prepared_Data!M192</f>
        <v>443275.59</v>
      </c>
      <c r="F192" s="2">
        <f>Cleaned_Prepared_Data!E192</f>
        <v>37705.879999999997</v>
      </c>
      <c r="G192" s="2">
        <f>Cleaned_Prepared_Data!F192</f>
        <v>1268</v>
      </c>
      <c r="H192" s="2">
        <f>Cleaned_Prepared_Data!G192</f>
        <v>0.25900000000000001</v>
      </c>
      <c r="I192" s="2">
        <f>Cleaned_Prepared_Data!H192</f>
        <v>9</v>
      </c>
      <c r="J192" s="2">
        <f>Cleaned_Prepared_Data!I192</f>
        <v>84.1</v>
      </c>
      <c r="K192" s="2">
        <f>Cleaned_Prepared_Data!K192</f>
        <v>0</v>
      </c>
      <c r="L192" s="2">
        <f>Cleaned_Prepared_Data!L192</f>
        <v>3.8</v>
      </c>
      <c r="M192" s="2">
        <f t="shared" si="6"/>
        <v>0</v>
      </c>
      <c r="N192" s="2">
        <f t="shared" si="7"/>
        <v>1</v>
      </c>
      <c r="O192" s="2">
        <f t="shared" si="8"/>
        <v>0</v>
      </c>
    </row>
    <row r="193" spans="1:15" x14ac:dyDescent="0.35">
      <c r="A193" s="2" t="str">
        <f>Cleaned_Prepared_Data!A193</f>
        <v>STR-1048</v>
      </c>
      <c r="B193" s="2" t="str">
        <f>Cleaned_Prepared_Data!P193</f>
        <v>2025-04</v>
      </c>
      <c r="C193" s="2" t="str">
        <f>Cleaned_Prepared_Data!C193</f>
        <v>East</v>
      </c>
      <c r="D193" s="2" t="str">
        <f>Cleaned_Prepared_Data!D193</f>
        <v>High Street</v>
      </c>
      <c r="E193" s="2">
        <f>Cleaned_Prepared_Data!M193</f>
        <v>554012.06999999995</v>
      </c>
      <c r="F193" s="2">
        <f>Cleaned_Prepared_Data!E193</f>
        <v>54966.18</v>
      </c>
      <c r="G193" s="2">
        <f>Cleaned_Prepared_Data!F193</f>
        <v>4423</v>
      </c>
      <c r="H193" s="2">
        <f>Cleaned_Prepared_Data!G193</f>
        <v>0.186</v>
      </c>
      <c r="I193" s="2">
        <f>Cleaned_Prepared_Data!H193</f>
        <v>13</v>
      </c>
      <c r="J193" s="2">
        <f>Cleaned_Prepared_Data!I193</f>
        <v>88.7</v>
      </c>
      <c r="K193" s="2">
        <f>Cleaned_Prepared_Data!K193</f>
        <v>0</v>
      </c>
      <c r="L193" s="2">
        <f>Cleaned_Prepared_Data!L193</f>
        <v>4.4000000000000004</v>
      </c>
      <c r="M193" s="2">
        <f t="shared" si="6"/>
        <v>0</v>
      </c>
      <c r="N193" s="2">
        <f t="shared" si="7"/>
        <v>1</v>
      </c>
      <c r="O193" s="2">
        <f t="shared" si="8"/>
        <v>0</v>
      </c>
    </row>
    <row r="194" spans="1:15" x14ac:dyDescent="0.35">
      <c r="A194" s="2" t="str">
        <f>Cleaned_Prepared_Data!A194</f>
        <v>STR-1049</v>
      </c>
      <c r="B194" s="2" t="str">
        <f>Cleaned_Prepared_Data!P194</f>
        <v>2025-01</v>
      </c>
      <c r="C194" s="2" t="str">
        <f>Cleaned_Prepared_Data!C194</f>
        <v>West</v>
      </c>
      <c r="D194" s="2" t="str">
        <f>Cleaned_Prepared_Data!D194</f>
        <v>Residential</v>
      </c>
      <c r="E194" s="2">
        <f>Cleaned_Prepared_Data!M194</f>
        <v>643428.85</v>
      </c>
      <c r="F194" s="2">
        <f>Cleaned_Prepared_Data!E194</f>
        <v>81796.740000000005</v>
      </c>
      <c r="G194" s="2">
        <f>Cleaned_Prepared_Data!F194</f>
        <v>6177</v>
      </c>
      <c r="H194" s="2">
        <f>Cleaned_Prepared_Data!G194</f>
        <v>0.16400000000000001</v>
      </c>
      <c r="I194" s="2">
        <f>Cleaned_Prepared_Data!H194</f>
        <v>14</v>
      </c>
      <c r="J194" s="2">
        <f>Cleaned_Prepared_Data!I194</f>
        <v>87.9</v>
      </c>
      <c r="K194" s="2">
        <f>Cleaned_Prepared_Data!K194</f>
        <v>0</v>
      </c>
      <c r="L194" s="2">
        <f>Cleaned_Prepared_Data!L194</f>
        <v>3.2</v>
      </c>
      <c r="M194" s="2">
        <f t="shared" ref="M194:M257" si="9">IF($D194="Airport",1,0)</f>
        <v>0</v>
      </c>
      <c r="N194" s="2">
        <f t="shared" ref="N194:N257" si="10">IF($D194="High Street",1,0)</f>
        <v>0</v>
      </c>
      <c r="O194" s="2">
        <f t="shared" ref="O194:O257" si="11">IF($D194="Mall",1,0)</f>
        <v>0</v>
      </c>
    </row>
    <row r="195" spans="1:15" x14ac:dyDescent="0.35">
      <c r="A195" s="2" t="str">
        <f>Cleaned_Prepared_Data!A195</f>
        <v>STR-1049</v>
      </c>
      <c r="B195" s="2" t="str">
        <f>Cleaned_Prepared_Data!P195</f>
        <v>2025-02</v>
      </c>
      <c r="C195" s="2" t="str">
        <f>Cleaned_Prepared_Data!C195</f>
        <v>West</v>
      </c>
      <c r="D195" s="2" t="str">
        <f>Cleaned_Prepared_Data!D195</f>
        <v>Residential</v>
      </c>
      <c r="E195" s="2">
        <f>Cleaned_Prepared_Data!M195</f>
        <v>611924.27</v>
      </c>
      <c r="F195" s="2">
        <f>Cleaned_Prepared_Data!E195</f>
        <v>51133.43</v>
      </c>
      <c r="G195" s="2">
        <f>Cleaned_Prepared_Data!F195</f>
        <v>5150</v>
      </c>
      <c r="H195" s="2">
        <f>Cleaned_Prepared_Data!G195</f>
        <v>0.15</v>
      </c>
      <c r="I195" s="2">
        <f>Cleaned_Prepared_Data!H195</f>
        <v>12</v>
      </c>
      <c r="J195" s="2">
        <f>Cleaned_Prepared_Data!I195</f>
        <v>88.5</v>
      </c>
      <c r="K195" s="2">
        <f>Cleaned_Prepared_Data!K195</f>
        <v>0</v>
      </c>
      <c r="L195" s="2">
        <f>Cleaned_Prepared_Data!L195</f>
        <v>3.2</v>
      </c>
      <c r="M195" s="2">
        <f t="shared" si="9"/>
        <v>0</v>
      </c>
      <c r="N195" s="2">
        <f t="shared" si="10"/>
        <v>0</v>
      </c>
      <c r="O195" s="2">
        <f t="shared" si="11"/>
        <v>0</v>
      </c>
    </row>
    <row r="196" spans="1:15" x14ac:dyDescent="0.35">
      <c r="A196" s="2" t="str">
        <f>Cleaned_Prepared_Data!A196</f>
        <v>STR-1049</v>
      </c>
      <c r="B196" s="2" t="str">
        <f>Cleaned_Prepared_Data!P196</f>
        <v>2025-03</v>
      </c>
      <c r="C196" s="2" t="str">
        <f>Cleaned_Prepared_Data!C196</f>
        <v>West</v>
      </c>
      <c r="D196" s="2" t="str">
        <f>Cleaned_Prepared_Data!D196</f>
        <v>Residential</v>
      </c>
      <c r="E196" s="2">
        <f>Cleaned_Prepared_Data!M196</f>
        <v>559422.02</v>
      </c>
      <c r="F196" s="2">
        <f>Cleaned_Prepared_Data!E196</f>
        <v>40220.18</v>
      </c>
      <c r="G196" s="2">
        <f>Cleaned_Prepared_Data!F196</f>
        <v>3783</v>
      </c>
      <c r="H196" s="2">
        <f>Cleaned_Prepared_Data!G196</f>
        <v>8.8999999999999996E-2</v>
      </c>
      <c r="I196" s="2">
        <f>Cleaned_Prepared_Data!H196</f>
        <v>14</v>
      </c>
      <c r="J196" s="2">
        <f>Cleaned_Prepared_Data!I196</f>
        <v>86.6</v>
      </c>
      <c r="K196" s="2">
        <f>Cleaned_Prepared_Data!K196</f>
        <v>0</v>
      </c>
      <c r="L196" s="2">
        <f>Cleaned_Prepared_Data!L196</f>
        <v>3.7</v>
      </c>
      <c r="M196" s="2">
        <f t="shared" si="9"/>
        <v>0</v>
      </c>
      <c r="N196" s="2">
        <f t="shared" si="10"/>
        <v>0</v>
      </c>
      <c r="O196" s="2">
        <f t="shared" si="11"/>
        <v>0</v>
      </c>
    </row>
    <row r="197" spans="1:15" x14ac:dyDescent="0.35">
      <c r="A197" s="2" t="str">
        <f>Cleaned_Prepared_Data!A197</f>
        <v>STR-1049</v>
      </c>
      <c r="B197" s="2" t="str">
        <f>Cleaned_Prepared_Data!P197</f>
        <v>2025-04</v>
      </c>
      <c r="C197" s="2" t="str">
        <f>Cleaned_Prepared_Data!C197</f>
        <v>West</v>
      </c>
      <c r="D197" s="2" t="str">
        <f>Cleaned_Prepared_Data!D197</f>
        <v>Residential</v>
      </c>
      <c r="E197" s="2">
        <f>Cleaned_Prepared_Data!M197</f>
        <v>449465.06</v>
      </c>
      <c r="F197" s="2">
        <f>Cleaned_Prepared_Data!E197</f>
        <v>41657.64</v>
      </c>
      <c r="G197" s="2">
        <f>Cleaned_Prepared_Data!F197</f>
        <v>3135</v>
      </c>
      <c r="H197" s="2">
        <f>Cleaned_Prepared_Data!G197</f>
        <v>0.22900000000000001</v>
      </c>
      <c r="I197" s="2">
        <f>Cleaned_Prepared_Data!H197</f>
        <v>7</v>
      </c>
      <c r="J197" s="2">
        <f>Cleaned_Prepared_Data!I197</f>
        <v>85.4</v>
      </c>
      <c r="K197" s="2">
        <f>Cleaned_Prepared_Data!K197</f>
        <v>0</v>
      </c>
      <c r="L197" s="2">
        <f>Cleaned_Prepared_Data!L197</f>
        <v>0</v>
      </c>
      <c r="M197" s="2">
        <f t="shared" si="9"/>
        <v>0</v>
      </c>
      <c r="N197" s="2">
        <f t="shared" si="10"/>
        <v>0</v>
      </c>
      <c r="O197" s="2">
        <f t="shared" si="11"/>
        <v>0</v>
      </c>
    </row>
    <row r="198" spans="1:15" x14ac:dyDescent="0.35">
      <c r="A198" s="2" t="str">
        <f>Cleaned_Prepared_Data!A198</f>
        <v>STR-1050</v>
      </c>
      <c r="B198" s="2" t="str">
        <f>Cleaned_Prepared_Data!P198</f>
        <v>2025-01</v>
      </c>
      <c r="C198" s="2" t="str">
        <f>Cleaned_Prepared_Data!C198</f>
        <v>North</v>
      </c>
      <c r="D198" s="2" t="str">
        <f>Cleaned_Prepared_Data!D198</f>
        <v>Residential</v>
      </c>
      <c r="E198" s="2">
        <f>Cleaned_Prepared_Data!M198</f>
        <v>691447.43</v>
      </c>
      <c r="F198" s="2">
        <f>Cleaned_Prepared_Data!E198</f>
        <v>71851.45</v>
      </c>
      <c r="G198" s="2">
        <f>Cleaned_Prepared_Data!F198</f>
        <v>4970</v>
      </c>
      <c r="H198" s="2">
        <f>Cleaned_Prepared_Data!G198</f>
        <v>9.8000000000000004E-2</v>
      </c>
      <c r="I198" s="2">
        <f>Cleaned_Prepared_Data!H198</f>
        <v>11</v>
      </c>
      <c r="J198" s="2">
        <f>Cleaned_Prepared_Data!I198</f>
        <v>89.6</v>
      </c>
      <c r="K198" s="2">
        <f>Cleaned_Prepared_Data!K198</f>
        <v>0</v>
      </c>
      <c r="L198" s="2">
        <f>Cleaned_Prepared_Data!L198</f>
        <v>4.2</v>
      </c>
      <c r="M198" s="2">
        <f t="shared" si="9"/>
        <v>0</v>
      </c>
      <c r="N198" s="2">
        <f t="shared" si="10"/>
        <v>0</v>
      </c>
      <c r="O198" s="2">
        <f t="shared" si="11"/>
        <v>0</v>
      </c>
    </row>
    <row r="199" spans="1:15" x14ac:dyDescent="0.35">
      <c r="A199" s="2" t="str">
        <f>Cleaned_Prepared_Data!A199</f>
        <v>STR-1050</v>
      </c>
      <c r="B199" s="2" t="str">
        <f>Cleaned_Prepared_Data!P199</f>
        <v>2025-02</v>
      </c>
      <c r="C199" s="2" t="str">
        <f>Cleaned_Prepared_Data!C199</f>
        <v>North</v>
      </c>
      <c r="D199" s="2" t="str">
        <f>Cleaned_Prepared_Data!D199</f>
        <v>Residential</v>
      </c>
      <c r="E199" s="2">
        <f>Cleaned_Prepared_Data!M199</f>
        <v>574066.61</v>
      </c>
      <c r="F199" s="2">
        <f>Cleaned_Prepared_Data!E199</f>
        <v>54002.83</v>
      </c>
      <c r="G199" s="2">
        <f>Cleaned_Prepared_Data!F199</f>
        <v>4366</v>
      </c>
      <c r="H199" s="2">
        <f>Cleaned_Prepared_Data!G199</f>
        <v>2.7E-2</v>
      </c>
      <c r="I199" s="2">
        <f>Cleaned_Prepared_Data!H199</f>
        <v>15</v>
      </c>
      <c r="J199" s="2">
        <f>Cleaned_Prepared_Data!I199</f>
        <v>90.6</v>
      </c>
      <c r="K199" s="2">
        <f>Cleaned_Prepared_Data!K199</f>
        <v>0</v>
      </c>
      <c r="L199" s="2">
        <f>Cleaned_Prepared_Data!L199</f>
        <v>4.5999999999999996</v>
      </c>
      <c r="M199" s="2">
        <f t="shared" si="9"/>
        <v>0</v>
      </c>
      <c r="N199" s="2">
        <f t="shared" si="10"/>
        <v>0</v>
      </c>
      <c r="O199" s="2">
        <f t="shared" si="11"/>
        <v>0</v>
      </c>
    </row>
    <row r="200" spans="1:15" x14ac:dyDescent="0.35">
      <c r="A200" s="2" t="str">
        <f>Cleaned_Prepared_Data!A200</f>
        <v>STR-1050</v>
      </c>
      <c r="B200" s="2" t="str">
        <f>Cleaned_Prepared_Data!P200</f>
        <v>2025-03</v>
      </c>
      <c r="C200" s="2" t="str">
        <f>Cleaned_Prepared_Data!C200</f>
        <v>North</v>
      </c>
      <c r="D200" s="2" t="str">
        <f>Cleaned_Prepared_Data!D200</f>
        <v>Residential</v>
      </c>
      <c r="E200" s="2">
        <f>Cleaned_Prepared_Data!M200</f>
        <v>578949.84</v>
      </c>
      <c r="F200" s="2">
        <f>Cleaned_Prepared_Data!E200</f>
        <v>54479.33</v>
      </c>
      <c r="G200" s="2">
        <f>Cleaned_Prepared_Data!F200</f>
        <v>5012</v>
      </c>
      <c r="H200" s="2">
        <f>Cleaned_Prepared_Data!G200</f>
        <v>0.28399999999999997</v>
      </c>
      <c r="I200" s="2">
        <f>Cleaned_Prepared_Data!H200</f>
        <v>13</v>
      </c>
      <c r="J200" s="2">
        <f>Cleaned_Prepared_Data!I200</f>
        <v>86</v>
      </c>
      <c r="K200" s="2">
        <f>Cleaned_Prepared_Data!K200</f>
        <v>1</v>
      </c>
      <c r="L200" s="2">
        <f>Cleaned_Prepared_Data!L200</f>
        <v>4.3</v>
      </c>
      <c r="M200" s="2">
        <f t="shared" si="9"/>
        <v>0</v>
      </c>
      <c r="N200" s="2">
        <f t="shared" si="10"/>
        <v>0</v>
      </c>
      <c r="O200" s="2">
        <f t="shared" si="11"/>
        <v>0</v>
      </c>
    </row>
    <row r="201" spans="1:15" x14ac:dyDescent="0.35">
      <c r="A201" s="2" t="str">
        <f>Cleaned_Prepared_Data!A201</f>
        <v>STR-1050</v>
      </c>
      <c r="B201" s="2" t="str">
        <f>Cleaned_Prepared_Data!P201</f>
        <v>2025-04</v>
      </c>
      <c r="C201" s="2" t="str">
        <f>Cleaned_Prepared_Data!C201</f>
        <v>North</v>
      </c>
      <c r="D201" s="2" t="str">
        <f>Cleaned_Prepared_Data!D201</f>
        <v>Residential</v>
      </c>
      <c r="E201" s="2">
        <f>Cleaned_Prepared_Data!M201</f>
        <v>735786.64</v>
      </c>
      <c r="F201" s="2">
        <f>Cleaned_Prepared_Data!E201</f>
        <v>61391.8</v>
      </c>
      <c r="G201" s="2">
        <f>Cleaned_Prepared_Data!F201</f>
        <v>5575</v>
      </c>
      <c r="H201" s="2">
        <f>Cleaned_Prepared_Data!G201</f>
        <v>0.189</v>
      </c>
      <c r="I201" s="2">
        <f>Cleaned_Prepared_Data!H201</f>
        <v>18</v>
      </c>
      <c r="J201" s="2">
        <f>Cleaned_Prepared_Data!I201</f>
        <v>90</v>
      </c>
      <c r="K201" s="2">
        <f>Cleaned_Prepared_Data!K201</f>
        <v>0</v>
      </c>
      <c r="L201" s="2">
        <f>Cleaned_Prepared_Data!L201</f>
        <v>4.8</v>
      </c>
      <c r="M201" s="2">
        <f t="shared" si="9"/>
        <v>0</v>
      </c>
      <c r="N201" s="2">
        <f t="shared" si="10"/>
        <v>0</v>
      </c>
      <c r="O201" s="2">
        <f t="shared" si="11"/>
        <v>0</v>
      </c>
    </row>
    <row r="202" spans="1:15" x14ac:dyDescent="0.35">
      <c r="A202" s="2" t="str">
        <f>Cleaned_Prepared_Data!A202</f>
        <v>STR-1051</v>
      </c>
      <c r="B202" s="2" t="str">
        <f>Cleaned_Prepared_Data!P202</f>
        <v>2025-01</v>
      </c>
      <c r="C202" s="2" t="str">
        <f>Cleaned_Prepared_Data!C202</f>
        <v>East</v>
      </c>
      <c r="D202" s="2" t="str">
        <f>Cleaned_Prepared_Data!D202</f>
        <v>Airport</v>
      </c>
      <c r="E202" s="2">
        <f>Cleaned_Prepared_Data!M202</f>
        <v>598904.9</v>
      </c>
      <c r="F202" s="2">
        <f>Cleaned_Prepared_Data!E202</f>
        <v>22312.93</v>
      </c>
      <c r="G202" s="2">
        <f>Cleaned_Prepared_Data!F202</f>
        <v>5955</v>
      </c>
      <c r="H202" s="2">
        <f>Cleaned_Prepared_Data!G202</f>
        <v>0.123</v>
      </c>
      <c r="I202" s="2">
        <f>Cleaned_Prepared_Data!H202</f>
        <v>13</v>
      </c>
      <c r="J202" s="2">
        <f>Cleaned_Prepared_Data!I202</f>
        <v>84.2</v>
      </c>
      <c r="K202" s="2">
        <f>Cleaned_Prepared_Data!K202</f>
        <v>1</v>
      </c>
      <c r="L202" s="2">
        <f>Cleaned_Prepared_Data!L202</f>
        <v>4.5999999999999996</v>
      </c>
      <c r="M202" s="2">
        <f t="shared" si="9"/>
        <v>1</v>
      </c>
      <c r="N202" s="2">
        <f t="shared" si="10"/>
        <v>0</v>
      </c>
      <c r="O202" s="2">
        <f t="shared" si="11"/>
        <v>0</v>
      </c>
    </row>
    <row r="203" spans="1:15" x14ac:dyDescent="0.35">
      <c r="A203" s="2" t="str">
        <f>Cleaned_Prepared_Data!A203</f>
        <v>STR-1051</v>
      </c>
      <c r="B203" s="2" t="str">
        <f>Cleaned_Prepared_Data!P203</f>
        <v>2025-02</v>
      </c>
      <c r="C203" s="2" t="str">
        <f>Cleaned_Prepared_Data!C203</f>
        <v>East</v>
      </c>
      <c r="D203" s="2" t="str">
        <f>Cleaned_Prepared_Data!D203</f>
        <v>Airport</v>
      </c>
      <c r="E203" s="2">
        <f>Cleaned_Prepared_Data!M203</f>
        <v>787715.51</v>
      </c>
      <c r="F203" s="2">
        <f>Cleaned_Prepared_Data!E203</f>
        <v>78111.97</v>
      </c>
      <c r="G203" s="2">
        <f>Cleaned_Prepared_Data!F203</f>
        <v>6389</v>
      </c>
      <c r="H203" s="2">
        <f>Cleaned_Prepared_Data!G203</f>
        <v>0.15</v>
      </c>
      <c r="I203" s="2">
        <f>Cleaned_Prepared_Data!H203</f>
        <v>13</v>
      </c>
      <c r="J203" s="2">
        <f>Cleaned_Prepared_Data!I203</f>
        <v>83.9</v>
      </c>
      <c r="K203" s="2">
        <f>Cleaned_Prepared_Data!K203</f>
        <v>0</v>
      </c>
      <c r="L203" s="2">
        <f>Cleaned_Prepared_Data!L203</f>
        <v>4.8</v>
      </c>
      <c r="M203" s="2">
        <f t="shared" si="9"/>
        <v>1</v>
      </c>
      <c r="N203" s="2">
        <f t="shared" si="10"/>
        <v>0</v>
      </c>
      <c r="O203" s="2">
        <f t="shared" si="11"/>
        <v>0</v>
      </c>
    </row>
    <row r="204" spans="1:15" x14ac:dyDescent="0.35">
      <c r="A204" s="2" t="str">
        <f>Cleaned_Prepared_Data!A204</f>
        <v>STR-1051</v>
      </c>
      <c r="B204" s="2" t="str">
        <f>Cleaned_Prepared_Data!P204</f>
        <v>2025-03</v>
      </c>
      <c r="C204" s="2" t="str">
        <f>Cleaned_Prepared_Data!C204</f>
        <v>East</v>
      </c>
      <c r="D204" s="2" t="str">
        <f>Cleaned_Prepared_Data!D204</f>
        <v>Airport</v>
      </c>
      <c r="E204" s="2">
        <f>Cleaned_Prepared_Data!M204</f>
        <v>607084.92000000004</v>
      </c>
      <c r="F204" s="2">
        <f>Cleaned_Prepared_Data!E204</f>
        <v>35203.230000000003</v>
      </c>
      <c r="G204" s="2">
        <f>Cleaned_Prepared_Data!F204</f>
        <v>6896</v>
      </c>
      <c r="H204" s="2">
        <f>Cleaned_Prepared_Data!G204</f>
        <v>3.2000000000000001E-2</v>
      </c>
      <c r="I204" s="2">
        <f>Cleaned_Prepared_Data!H204</f>
        <v>14</v>
      </c>
      <c r="J204" s="2">
        <f>Cleaned_Prepared_Data!I204</f>
        <v>80.8</v>
      </c>
      <c r="K204" s="2">
        <f>Cleaned_Prepared_Data!K204</f>
        <v>1</v>
      </c>
      <c r="L204" s="2">
        <f>Cleaned_Prepared_Data!L204</f>
        <v>5</v>
      </c>
      <c r="M204" s="2">
        <f t="shared" si="9"/>
        <v>1</v>
      </c>
      <c r="N204" s="2">
        <f t="shared" si="10"/>
        <v>0</v>
      </c>
      <c r="O204" s="2">
        <f t="shared" si="11"/>
        <v>0</v>
      </c>
    </row>
    <row r="205" spans="1:15" x14ac:dyDescent="0.35">
      <c r="A205" s="2" t="str">
        <f>Cleaned_Prepared_Data!A205</f>
        <v>STR-1051</v>
      </c>
      <c r="B205" s="2" t="str">
        <f>Cleaned_Prepared_Data!P205</f>
        <v>2025-04</v>
      </c>
      <c r="C205" s="2" t="str">
        <f>Cleaned_Prepared_Data!C205</f>
        <v>East</v>
      </c>
      <c r="D205" s="2" t="str">
        <f>Cleaned_Prepared_Data!D205</f>
        <v>Airport</v>
      </c>
      <c r="E205" s="2">
        <f>Cleaned_Prepared_Data!M205</f>
        <v>650795.49</v>
      </c>
      <c r="F205" s="2">
        <f>Cleaned_Prepared_Data!E205</f>
        <v>64104.28</v>
      </c>
      <c r="G205" s="2">
        <f>Cleaned_Prepared_Data!F205</f>
        <v>6015</v>
      </c>
      <c r="H205" s="2">
        <f>Cleaned_Prepared_Data!G205</f>
        <v>0.127</v>
      </c>
      <c r="I205" s="2">
        <f>Cleaned_Prepared_Data!H205</f>
        <v>15</v>
      </c>
      <c r="J205" s="2">
        <f>Cleaned_Prepared_Data!I205</f>
        <v>88.7</v>
      </c>
      <c r="K205" s="2">
        <f>Cleaned_Prepared_Data!K205</f>
        <v>0</v>
      </c>
      <c r="L205" s="2">
        <f>Cleaned_Prepared_Data!L205</f>
        <v>4</v>
      </c>
      <c r="M205" s="2">
        <f t="shared" si="9"/>
        <v>1</v>
      </c>
      <c r="N205" s="2">
        <f t="shared" si="10"/>
        <v>0</v>
      </c>
      <c r="O205" s="2">
        <f t="shared" si="11"/>
        <v>0</v>
      </c>
    </row>
    <row r="206" spans="1:15" x14ac:dyDescent="0.35">
      <c r="A206" s="2" t="str">
        <f>Cleaned_Prepared_Data!A206</f>
        <v>STR-1052</v>
      </c>
      <c r="B206" s="2" t="str">
        <f>Cleaned_Prepared_Data!P206</f>
        <v>2025-01</v>
      </c>
      <c r="C206" s="2" t="str">
        <f>Cleaned_Prepared_Data!C206</f>
        <v>East</v>
      </c>
      <c r="D206" s="2" t="str">
        <f>Cleaned_Prepared_Data!D206</f>
        <v>Mall</v>
      </c>
      <c r="E206" s="2">
        <f>Cleaned_Prepared_Data!M206</f>
        <v>825060.52</v>
      </c>
      <c r="F206" s="2">
        <f>Cleaned_Prepared_Data!E206</f>
        <v>92090.14</v>
      </c>
      <c r="G206" s="2">
        <f>Cleaned_Prepared_Data!F206</f>
        <v>9476</v>
      </c>
      <c r="H206" s="2">
        <f>Cleaned_Prepared_Data!G206</f>
        <v>7.0000000000000007E-2</v>
      </c>
      <c r="I206" s="2">
        <f>Cleaned_Prepared_Data!H206</f>
        <v>24</v>
      </c>
      <c r="J206" s="2">
        <f>Cleaned_Prepared_Data!I206</f>
        <v>94.3</v>
      </c>
      <c r="K206" s="2">
        <f>Cleaned_Prepared_Data!K206</f>
        <v>0</v>
      </c>
      <c r="L206" s="2">
        <f>Cleaned_Prepared_Data!L206</f>
        <v>3.7</v>
      </c>
      <c r="M206" s="2">
        <f t="shared" si="9"/>
        <v>0</v>
      </c>
      <c r="N206" s="2">
        <f t="shared" si="10"/>
        <v>0</v>
      </c>
      <c r="O206" s="2">
        <f t="shared" si="11"/>
        <v>1</v>
      </c>
    </row>
    <row r="207" spans="1:15" x14ac:dyDescent="0.35">
      <c r="A207" s="2" t="str">
        <f>Cleaned_Prepared_Data!A207</f>
        <v>STR-1052</v>
      </c>
      <c r="B207" s="2" t="str">
        <f>Cleaned_Prepared_Data!P207</f>
        <v>2025-02</v>
      </c>
      <c r="C207" s="2" t="str">
        <f>Cleaned_Prepared_Data!C207</f>
        <v>East</v>
      </c>
      <c r="D207" s="2" t="str">
        <f>Cleaned_Prepared_Data!D207</f>
        <v>Mall</v>
      </c>
      <c r="E207" s="2">
        <f>Cleaned_Prepared_Data!M207</f>
        <v>795464.47</v>
      </c>
      <c r="F207" s="2">
        <f>Cleaned_Prepared_Data!E207</f>
        <v>54300.87</v>
      </c>
      <c r="G207" s="2">
        <f>Cleaned_Prepared_Data!F207</f>
        <v>7875</v>
      </c>
      <c r="H207" s="2">
        <f>Cleaned_Prepared_Data!G207</f>
        <v>0.107</v>
      </c>
      <c r="I207" s="2">
        <f>Cleaned_Prepared_Data!H207</f>
        <v>19</v>
      </c>
      <c r="J207" s="2">
        <f>Cleaned_Prepared_Data!I207</f>
        <v>94.1</v>
      </c>
      <c r="K207" s="2">
        <f>Cleaned_Prepared_Data!K207</f>
        <v>0</v>
      </c>
      <c r="L207" s="2">
        <f>Cleaned_Prepared_Data!L207</f>
        <v>3.7</v>
      </c>
      <c r="M207" s="2">
        <f t="shared" si="9"/>
        <v>0</v>
      </c>
      <c r="N207" s="2">
        <f t="shared" si="10"/>
        <v>0</v>
      </c>
      <c r="O207" s="2">
        <f t="shared" si="11"/>
        <v>1</v>
      </c>
    </row>
    <row r="208" spans="1:15" x14ac:dyDescent="0.35">
      <c r="A208" s="2" t="str">
        <f>Cleaned_Prepared_Data!A208</f>
        <v>STR-1052</v>
      </c>
      <c r="B208" s="2" t="str">
        <f>Cleaned_Prepared_Data!P208</f>
        <v>2025-03</v>
      </c>
      <c r="C208" s="2" t="str">
        <f>Cleaned_Prepared_Data!C208</f>
        <v>East</v>
      </c>
      <c r="D208" s="2" t="str">
        <f>Cleaned_Prepared_Data!D208</f>
        <v>Mall</v>
      </c>
      <c r="E208" s="2">
        <f>Cleaned_Prepared_Data!M208</f>
        <v>671868.59</v>
      </c>
      <c r="F208" s="2">
        <f>Cleaned_Prepared_Data!E208</f>
        <v>37983.35</v>
      </c>
      <c r="G208" s="2">
        <f>Cleaned_Prepared_Data!F208</f>
        <v>9283</v>
      </c>
      <c r="H208" s="2">
        <f>Cleaned_Prepared_Data!G208</f>
        <v>0.14899999999999999</v>
      </c>
      <c r="I208" s="2">
        <f>Cleaned_Prepared_Data!H208</f>
        <v>19</v>
      </c>
      <c r="J208" s="2">
        <f>Cleaned_Prepared_Data!I208</f>
        <v>83.2</v>
      </c>
      <c r="K208" s="2">
        <f>Cleaned_Prepared_Data!K208</f>
        <v>0</v>
      </c>
      <c r="L208" s="2">
        <f>Cleaned_Prepared_Data!L208</f>
        <v>3.7</v>
      </c>
      <c r="M208" s="2">
        <f t="shared" si="9"/>
        <v>0</v>
      </c>
      <c r="N208" s="2">
        <f t="shared" si="10"/>
        <v>0</v>
      </c>
      <c r="O208" s="2">
        <f t="shared" si="11"/>
        <v>1</v>
      </c>
    </row>
    <row r="209" spans="1:15" x14ac:dyDescent="0.35">
      <c r="A209" s="2" t="str">
        <f>Cleaned_Prepared_Data!A209</f>
        <v>STR-1052</v>
      </c>
      <c r="B209" s="2" t="str">
        <f>Cleaned_Prepared_Data!P209</f>
        <v>2025-04</v>
      </c>
      <c r="C209" s="2" t="str">
        <f>Cleaned_Prepared_Data!C209</f>
        <v>East</v>
      </c>
      <c r="D209" s="2" t="str">
        <f>Cleaned_Prepared_Data!D209</f>
        <v>Mall</v>
      </c>
      <c r="E209" s="2">
        <f>Cleaned_Prepared_Data!M209</f>
        <v>675917.63</v>
      </c>
      <c r="F209" s="2">
        <f>Cleaned_Prepared_Data!E209</f>
        <v>56413.83</v>
      </c>
      <c r="G209" s="2">
        <f>Cleaned_Prepared_Data!F209</f>
        <v>8303</v>
      </c>
      <c r="H209" s="2">
        <f>Cleaned_Prepared_Data!G209</f>
        <v>0.11600000000000001</v>
      </c>
      <c r="I209" s="2">
        <f>Cleaned_Prepared_Data!H209</f>
        <v>18</v>
      </c>
      <c r="J209" s="2">
        <f>Cleaned_Prepared_Data!I209</f>
        <v>93.6</v>
      </c>
      <c r="K209" s="2">
        <f>Cleaned_Prepared_Data!K209</f>
        <v>0</v>
      </c>
      <c r="L209" s="2">
        <f>Cleaned_Prepared_Data!L209</f>
        <v>3.7</v>
      </c>
      <c r="M209" s="2">
        <f t="shared" si="9"/>
        <v>0</v>
      </c>
      <c r="N209" s="2">
        <f t="shared" si="10"/>
        <v>0</v>
      </c>
      <c r="O209" s="2">
        <f t="shared" si="11"/>
        <v>1</v>
      </c>
    </row>
    <row r="210" spans="1:15" x14ac:dyDescent="0.35">
      <c r="A210" s="2" t="str">
        <f>Cleaned_Prepared_Data!A210</f>
        <v>STR-1053</v>
      </c>
      <c r="B210" s="2" t="str">
        <f>Cleaned_Prepared_Data!P210</f>
        <v>2025-01</v>
      </c>
      <c r="C210" s="2" t="str">
        <f>Cleaned_Prepared_Data!C210</f>
        <v>East</v>
      </c>
      <c r="D210" s="2" t="str">
        <f>Cleaned_Prepared_Data!D210</f>
        <v>High Street</v>
      </c>
      <c r="E210" s="2">
        <f>Cleaned_Prepared_Data!M210</f>
        <v>810446.53</v>
      </c>
      <c r="F210" s="2">
        <f>Cleaned_Prepared_Data!E210</f>
        <v>63457.19</v>
      </c>
      <c r="G210" s="2">
        <f>Cleaned_Prepared_Data!F210</f>
        <v>10125</v>
      </c>
      <c r="H210" s="2">
        <f>Cleaned_Prepared_Data!G210</f>
        <v>9.7000000000000003E-2</v>
      </c>
      <c r="I210" s="2">
        <f>Cleaned_Prepared_Data!H210</f>
        <v>24</v>
      </c>
      <c r="J210" s="2">
        <f>Cleaned_Prepared_Data!I210</f>
        <v>87</v>
      </c>
      <c r="K210" s="2">
        <f>Cleaned_Prepared_Data!K210</f>
        <v>1</v>
      </c>
      <c r="L210" s="2">
        <f>Cleaned_Prepared_Data!L210</f>
        <v>3.7</v>
      </c>
      <c r="M210" s="2">
        <f t="shared" si="9"/>
        <v>0</v>
      </c>
      <c r="N210" s="2">
        <f t="shared" si="10"/>
        <v>1</v>
      </c>
      <c r="O210" s="2">
        <f t="shared" si="11"/>
        <v>0</v>
      </c>
    </row>
    <row r="211" spans="1:15" x14ac:dyDescent="0.35">
      <c r="A211" s="2" t="str">
        <f>Cleaned_Prepared_Data!A211</f>
        <v>STR-1053</v>
      </c>
      <c r="B211" s="2" t="str">
        <f>Cleaned_Prepared_Data!P211</f>
        <v>2025-02</v>
      </c>
      <c r="C211" s="2" t="str">
        <f>Cleaned_Prepared_Data!C211</f>
        <v>East</v>
      </c>
      <c r="D211" s="2" t="str">
        <f>Cleaned_Prepared_Data!D211</f>
        <v>High Street</v>
      </c>
      <c r="E211" s="2">
        <f>Cleaned_Prepared_Data!M211</f>
        <v>691288.19</v>
      </c>
      <c r="F211" s="2">
        <f>Cleaned_Prepared_Data!E211</f>
        <v>62949.7</v>
      </c>
      <c r="G211" s="2">
        <f>Cleaned_Prepared_Data!F211</f>
        <v>9458</v>
      </c>
      <c r="H211" s="2">
        <f>Cleaned_Prepared_Data!G211</f>
        <v>0.17100000000000001</v>
      </c>
      <c r="I211" s="2">
        <f>Cleaned_Prepared_Data!H211</f>
        <v>19</v>
      </c>
      <c r="J211" s="2">
        <f>Cleaned_Prepared_Data!I211</f>
        <v>84.9</v>
      </c>
      <c r="K211" s="2">
        <f>Cleaned_Prepared_Data!K211</f>
        <v>0</v>
      </c>
      <c r="L211" s="2">
        <f>Cleaned_Prepared_Data!L211</f>
        <v>3.3</v>
      </c>
      <c r="M211" s="2">
        <f t="shared" si="9"/>
        <v>0</v>
      </c>
      <c r="N211" s="2">
        <f t="shared" si="10"/>
        <v>1</v>
      </c>
      <c r="O211" s="2">
        <f t="shared" si="11"/>
        <v>0</v>
      </c>
    </row>
    <row r="212" spans="1:15" x14ac:dyDescent="0.35">
      <c r="A212" s="2" t="str">
        <f>Cleaned_Prepared_Data!A212</f>
        <v>STR-1053</v>
      </c>
      <c r="B212" s="2" t="str">
        <f>Cleaned_Prepared_Data!P212</f>
        <v>2025-03</v>
      </c>
      <c r="C212" s="2" t="str">
        <f>Cleaned_Prepared_Data!C212</f>
        <v>East</v>
      </c>
      <c r="D212" s="2" t="str">
        <f>Cleaned_Prepared_Data!D212</f>
        <v>High Street</v>
      </c>
      <c r="E212" s="2">
        <f>Cleaned_Prepared_Data!M212</f>
        <v>946833.54</v>
      </c>
      <c r="F212" s="2">
        <f>Cleaned_Prepared_Data!E212</f>
        <v>107970.19</v>
      </c>
      <c r="G212" s="2">
        <f>Cleaned_Prepared_Data!F212</f>
        <v>12870</v>
      </c>
      <c r="H212" s="2">
        <f>Cleaned_Prepared_Data!G212</f>
        <v>2.9000000000000001E-2</v>
      </c>
      <c r="I212" s="2">
        <f>Cleaned_Prepared_Data!H212</f>
        <v>31</v>
      </c>
      <c r="J212" s="2">
        <f>Cleaned_Prepared_Data!I212</f>
        <v>91.7</v>
      </c>
      <c r="K212" s="2">
        <f>Cleaned_Prepared_Data!K212</f>
        <v>1</v>
      </c>
      <c r="L212" s="2">
        <f>Cleaned_Prepared_Data!L212</f>
        <v>3.7</v>
      </c>
      <c r="M212" s="2">
        <f t="shared" si="9"/>
        <v>0</v>
      </c>
      <c r="N212" s="2">
        <f t="shared" si="10"/>
        <v>1</v>
      </c>
      <c r="O212" s="2">
        <f t="shared" si="11"/>
        <v>0</v>
      </c>
    </row>
    <row r="213" spans="1:15" x14ac:dyDescent="0.35">
      <c r="A213" s="2" t="str">
        <f>Cleaned_Prepared_Data!A213</f>
        <v>STR-1053</v>
      </c>
      <c r="B213" s="2" t="str">
        <f>Cleaned_Prepared_Data!P213</f>
        <v>2025-04</v>
      </c>
      <c r="C213" s="2" t="str">
        <f>Cleaned_Prepared_Data!C213</f>
        <v>East</v>
      </c>
      <c r="D213" s="2" t="str">
        <f>Cleaned_Prepared_Data!D213</f>
        <v>High Street</v>
      </c>
      <c r="E213" s="2">
        <f>Cleaned_Prepared_Data!M213</f>
        <v>761963.23</v>
      </c>
      <c r="F213" s="2">
        <f>Cleaned_Prepared_Data!E213</f>
        <v>49405.75</v>
      </c>
      <c r="G213" s="2">
        <f>Cleaned_Prepared_Data!F213</f>
        <v>9752</v>
      </c>
      <c r="H213" s="2">
        <f>Cleaned_Prepared_Data!G213</f>
        <v>9.2999999999999999E-2</v>
      </c>
      <c r="I213" s="2">
        <f>Cleaned_Prepared_Data!H213</f>
        <v>21</v>
      </c>
      <c r="J213" s="2">
        <f>Cleaned_Prepared_Data!I213</f>
        <v>87</v>
      </c>
      <c r="K213" s="2">
        <f>Cleaned_Prepared_Data!K213</f>
        <v>0</v>
      </c>
      <c r="L213" s="2">
        <f>Cleaned_Prepared_Data!L213</f>
        <v>4.0999999999999996</v>
      </c>
      <c r="M213" s="2">
        <f t="shared" si="9"/>
        <v>0</v>
      </c>
      <c r="N213" s="2">
        <f t="shared" si="10"/>
        <v>1</v>
      </c>
      <c r="O213" s="2">
        <f t="shared" si="11"/>
        <v>0</v>
      </c>
    </row>
    <row r="214" spans="1:15" x14ac:dyDescent="0.35">
      <c r="A214" s="2" t="str">
        <f>Cleaned_Prepared_Data!A214</f>
        <v>STR-1054</v>
      </c>
      <c r="B214" s="2" t="str">
        <f>Cleaned_Prepared_Data!P214</f>
        <v>2025-01</v>
      </c>
      <c r="C214" s="2" t="str">
        <f>Cleaned_Prepared_Data!C214</f>
        <v>West</v>
      </c>
      <c r="D214" s="2" t="str">
        <f>Cleaned_Prepared_Data!D214</f>
        <v>Residential</v>
      </c>
      <c r="E214" s="2">
        <f>Cleaned_Prepared_Data!M214</f>
        <v>812152.6</v>
      </c>
      <c r="F214" s="2">
        <f>Cleaned_Prepared_Data!E214</f>
        <v>50887.46</v>
      </c>
      <c r="G214" s="2">
        <f>Cleaned_Prepared_Data!F214</f>
        <v>9505</v>
      </c>
      <c r="H214" s="2">
        <f>Cleaned_Prepared_Data!G214</f>
        <v>9.0999999999999998E-2</v>
      </c>
      <c r="I214" s="2">
        <f>Cleaned_Prepared_Data!H214</f>
        <v>25</v>
      </c>
      <c r="J214" s="2">
        <f>Cleaned_Prepared_Data!I214</f>
        <v>89.7</v>
      </c>
      <c r="K214" s="2">
        <f>Cleaned_Prepared_Data!K214</f>
        <v>0</v>
      </c>
      <c r="L214" s="2">
        <f>Cleaned_Prepared_Data!L214</f>
        <v>4.3</v>
      </c>
      <c r="M214" s="2">
        <f t="shared" si="9"/>
        <v>0</v>
      </c>
      <c r="N214" s="2">
        <f t="shared" si="10"/>
        <v>0</v>
      </c>
      <c r="O214" s="2">
        <f t="shared" si="11"/>
        <v>0</v>
      </c>
    </row>
    <row r="215" spans="1:15" x14ac:dyDescent="0.35">
      <c r="A215" s="2" t="str">
        <f>Cleaned_Prepared_Data!A215</f>
        <v>STR-1054</v>
      </c>
      <c r="B215" s="2" t="str">
        <f>Cleaned_Prepared_Data!P215</f>
        <v>2025-02</v>
      </c>
      <c r="C215" s="2" t="str">
        <f>Cleaned_Prepared_Data!C215</f>
        <v>West</v>
      </c>
      <c r="D215" s="2" t="str">
        <f>Cleaned_Prepared_Data!D215</f>
        <v>Residential</v>
      </c>
      <c r="E215" s="2">
        <f>Cleaned_Prepared_Data!M215</f>
        <v>804975.5</v>
      </c>
      <c r="F215" s="2">
        <f>Cleaned_Prepared_Data!E215</f>
        <v>41819.449999999997</v>
      </c>
      <c r="G215" s="2">
        <f>Cleaned_Prepared_Data!F215</f>
        <v>9412</v>
      </c>
      <c r="H215" s="2">
        <f>Cleaned_Prepared_Data!G215</f>
        <v>0.15</v>
      </c>
      <c r="I215" s="2">
        <f>Cleaned_Prepared_Data!H215</f>
        <v>22</v>
      </c>
      <c r="J215" s="2">
        <f>Cleaned_Prepared_Data!I215</f>
        <v>91</v>
      </c>
      <c r="K215" s="2">
        <f>Cleaned_Prepared_Data!K215</f>
        <v>0</v>
      </c>
      <c r="L215" s="2">
        <f>Cleaned_Prepared_Data!L215</f>
        <v>4.2</v>
      </c>
      <c r="M215" s="2">
        <f t="shared" si="9"/>
        <v>0</v>
      </c>
      <c r="N215" s="2">
        <f t="shared" si="10"/>
        <v>0</v>
      </c>
      <c r="O215" s="2">
        <f t="shared" si="11"/>
        <v>0</v>
      </c>
    </row>
    <row r="216" spans="1:15" x14ac:dyDescent="0.35">
      <c r="A216" s="2" t="str">
        <f>Cleaned_Prepared_Data!A216</f>
        <v>STR-1054</v>
      </c>
      <c r="B216" s="2" t="str">
        <f>Cleaned_Prepared_Data!P216</f>
        <v>2025-03</v>
      </c>
      <c r="C216" s="2" t="str">
        <f>Cleaned_Prepared_Data!C216</f>
        <v>West</v>
      </c>
      <c r="D216" s="2" t="str">
        <f>Cleaned_Prepared_Data!D216</f>
        <v>Residential</v>
      </c>
      <c r="E216" s="2">
        <f>Cleaned_Prepared_Data!M216</f>
        <v>752321.72</v>
      </c>
      <c r="F216" s="2">
        <f>Cleaned_Prepared_Data!E216</f>
        <v>35296.54</v>
      </c>
      <c r="G216" s="2">
        <f>Cleaned_Prepared_Data!F216</f>
        <v>9644</v>
      </c>
      <c r="H216" s="2">
        <f>Cleaned_Prepared_Data!G216</f>
        <v>0</v>
      </c>
      <c r="I216" s="2">
        <f>Cleaned_Prepared_Data!H216</f>
        <v>22</v>
      </c>
      <c r="J216" s="2">
        <f>Cleaned_Prepared_Data!I216</f>
        <v>88</v>
      </c>
      <c r="K216" s="2">
        <f>Cleaned_Prepared_Data!K216</f>
        <v>0</v>
      </c>
      <c r="L216" s="2">
        <f>Cleaned_Prepared_Data!L216</f>
        <v>4.7</v>
      </c>
      <c r="M216" s="2">
        <f t="shared" si="9"/>
        <v>0</v>
      </c>
      <c r="N216" s="2">
        <f t="shared" si="10"/>
        <v>0</v>
      </c>
      <c r="O216" s="2">
        <f t="shared" si="11"/>
        <v>0</v>
      </c>
    </row>
    <row r="217" spans="1:15" x14ac:dyDescent="0.35">
      <c r="A217" s="2" t="str">
        <f>Cleaned_Prepared_Data!A217</f>
        <v>STR-1054</v>
      </c>
      <c r="B217" s="2" t="str">
        <f>Cleaned_Prepared_Data!P217</f>
        <v>2025-04</v>
      </c>
      <c r="C217" s="2" t="str">
        <f>Cleaned_Prepared_Data!C217</f>
        <v>West</v>
      </c>
      <c r="D217" s="2" t="str">
        <f>Cleaned_Prepared_Data!D217</f>
        <v>Residential</v>
      </c>
      <c r="E217" s="2">
        <f>Cleaned_Prepared_Data!M217</f>
        <v>836908.24</v>
      </c>
      <c r="F217" s="2">
        <f>Cleaned_Prepared_Data!E217</f>
        <v>47391.09</v>
      </c>
      <c r="G217" s="2">
        <f>Cleaned_Prepared_Data!F217</f>
        <v>11224</v>
      </c>
      <c r="H217" s="2">
        <f>Cleaned_Prepared_Data!G217</f>
        <v>0.14699999999999999</v>
      </c>
      <c r="I217" s="2">
        <f>Cleaned_Prepared_Data!H217</f>
        <v>25</v>
      </c>
      <c r="J217" s="2">
        <f>Cleaned_Prepared_Data!I217</f>
        <v>88.4</v>
      </c>
      <c r="K217" s="2">
        <f>Cleaned_Prepared_Data!K217</f>
        <v>0</v>
      </c>
      <c r="L217" s="2">
        <f>Cleaned_Prepared_Data!L217</f>
        <v>4.9000000000000004</v>
      </c>
      <c r="M217" s="2">
        <f t="shared" si="9"/>
        <v>0</v>
      </c>
      <c r="N217" s="2">
        <f t="shared" si="10"/>
        <v>0</v>
      </c>
      <c r="O217" s="2">
        <f t="shared" si="11"/>
        <v>0</v>
      </c>
    </row>
    <row r="218" spans="1:15" x14ac:dyDescent="0.35">
      <c r="A218" s="2" t="str">
        <f>Cleaned_Prepared_Data!A218</f>
        <v>STR-1055</v>
      </c>
      <c r="B218" s="2" t="str">
        <f>Cleaned_Prepared_Data!P218</f>
        <v>2025-01</v>
      </c>
      <c r="C218" s="2" t="str">
        <f>Cleaned_Prepared_Data!C218</f>
        <v>North</v>
      </c>
      <c r="D218" s="2" t="str">
        <f>Cleaned_Prepared_Data!D218</f>
        <v>Airport</v>
      </c>
      <c r="E218" s="2">
        <f>Cleaned_Prepared_Data!M218</f>
        <v>674289.1</v>
      </c>
      <c r="F218" s="2">
        <f>Cleaned_Prepared_Data!E218</f>
        <v>69180.539999999994</v>
      </c>
      <c r="G218" s="2">
        <f>Cleaned_Prepared_Data!F218</f>
        <v>5394</v>
      </c>
      <c r="H218" s="2">
        <f>Cleaned_Prepared_Data!G218</f>
        <v>0.126</v>
      </c>
      <c r="I218" s="2">
        <f>Cleaned_Prepared_Data!H218</f>
        <v>12</v>
      </c>
      <c r="J218" s="2">
        <f>Cleaned_Prepared_Data!I218</f>
        <v>82.9</v>
      </c>
      <c r="K218" s="2">
        <f>Cleaned_Prepared_Data!K218</f>
        <v>0</v>
      </c>
      <c r="L218" s="2">
        <f>Cleaned_Prepared_Data!L218</f>
        <v>3.3</v>
      </c>
      <c r="M218" s="2">
        <f t="shared" si="9"/>
        <v>1</v>
      </c>
      <c r="N218" s="2">
        <f t="shared" si="10"/>
        <v>0</v>
      </c>
      <c r="O218" s="2">
        <f t="shared" si="11"/>
        <v>0</v>
      </c>
    </row>
    <row r="219" spans="1:15" x14ac:dyDescent="0.35">
      <c r="A219" s="2" t="str">
        <f>Cleaned_Prepared_Data!A219</f>
        <v>STR-1055</v>
      </c>
      <c r="B219" s="2" t="str">
        <f>Cleaned_Prepared_Data!P219</f>
        <v>2025-02</v>
      </c>
      <c r="C219" s="2" t="str">
        <f>Cleaned_Prepared_Data!C219</f>
        <v>North</v>
      </c>
      <c r="D219" s="2" t="str">
        <f>Cleaned_Prepared_Data!D219</f>
        <v>Airport</v>
      </c>
      <c r="E219" s="2">
        <f>Cleaned_Prepared_Data!M219</f>
        <v>622892.42000000004</v>
      </c>
      <c r="F219" s="2">
        <f>Cleaned_Prepared_Data!E219</f>
        <v>33987.33</v>
      </c>
      <c r="G219" s="2">
        <f>Cleaned_Prepared_Data!F219</f>
        <v>5014</v>
      </c>
      <c r="H219" s="2">
        <f>Cleaned_Prepared_Data!G219</f>
        <v>0.246</v>
      </c>
      <c r="I219" s="2">
        <f>Cleaned_Prepared_Data!H219</f>
        <v>17</v>
      </c>
      <c r="J219" s="2">
        <f>Cleaned_Prepared_Data!I219</f>
        <v>94.3</v>
      </c>
      <c r="K219" s="2">
        <f>Cleaned_Prepared_Data!K219</f>
        <v>0</v>
      </c>
      <c r="L219" s="2">
        <f>Cleaned_Prepared_Data!L219</f>
        <v>3.9</v>
      </c>
      <c r="M219" s="2">
        <f t="shared" si="9"/>
        <v>1</v>
      </c>
      <c r="N219" s="2">
        <f t="shared" si="10"/>
        <v>0</v>
      </c>
      <c r="O219" s="2">
        <f t="shared" si="11"/>
        <v>0</v>
      </c>
    </row>
    <row r="220" spans="1:15" x14ac:dyDescent="0.35">
      <c r="A220" s="2" t="str">
        <f>Cleaned_Prepared_Data!A220</f>
        <v>STR-1055</v>
      </c>
      <c r="B220" s="2" t="str">
        <f>Cleaned_Prepared_Data!P220</f>
        <v>2025-03</v>
      </c>
      <c r="C220" s="2" t="str">
        <f>Cleaned_Prepared_Data!C220</f>
        <v>North</v>
      </c>
      <c r="D220" s="2" t="str">
        <f>Cleaned_Prepared_Data!D220</f>
        <v>Airport</v>
      </c>
      <c r="E220" s="2">
        <f>Cleaned_Prepared_Data!M220</f>
        <v>673348.56</v>
      </c>
      <c r="F220" s="2">
        <f>Cleaned_Prepared_Data!E220</f>
        <v>58785.33</v>
      </c>
      <c r="G220" s="2">
        <f>Cleaned_Prepared_Data!F220</f>
        <v>4467</v>
      </c>
      <c r="H220" s="2">
        <f>Cleaned_Prepared_Data!G220</f>
        <v>0.22900000000000001</v>
      </c>
      <c r="I220" s="2">
        <f>Cleaned_Prepared_Data!H220</f>
        <v>14</v>
      </c>
      <c r="J220" s="2">
        <f>Cleaned_Prepared_Data!I220</f>
        <v>90.7</v>
      </c>
      <c r="K220" s="2">
        <f>Cleaned_Prepared_Data!K220</f>
        <v>0</v>
      </c>
      <c r="L220" s="2">
        <f>Cleaned_Prepared_Data!L220</f>
        <v>3.7</v>
      </c>
      <c r="M220" s="2">
        <f t="shared" si="9"/>
        <v>1</v>
      </c>
      <c r="N220" s="2">
        <f t="shared" si="10"/>
        <v>0</v>
      </c>
      <c r="O220" s="2">
        <f t="shared" si="11"/>
        <v>0</v>
      </c>
    </row>
    <row r="221" spans="1:15" x14ac:dyDescent="0.35">
      <c r="A221" s="2" t="str">
        <f>Cleaned_Prepared_Data!A221</f>
        <v>STR-1055</v>
      </c>
      <c r="B221" s="2" t="str">
        <f>Cleaned_Prepared_Data!P221</f>
        <v>2025-04</v>
      </c>
      <c r="C221" s="2" t="str">
        <f>Cleaned_Prepared_Data!C221</f>
        <v>North</v>
      </c>
      <c r="D221" s="2" t="str">
        <f>Cleaned_Prepared_Data!D221</f>
        <v>Airport</v>
      </c>
      <c r="E221" s="2">
        <f>Cleaned_Prepared_Data!M221</f>
        <v>606278.30000000005</v>
      </c>
      <c r="F221" s="2">
        <f>Cleaned_Prepared_Data!E221</f>
        <v>16451.849999999999</v>
      </c>
      <c r="G221" s="2">
        <f>Cleaned_Prepared_Data!F221</f>
        <v>4678</v>
      </c>
      <c r="H221" s="2">
        <f>Cleaned_Prepared_Data!G221</f>
        <v>0.13300000000000001</v>
      </c>
      <c r="I221" s="2">
        <f>Cleaned_Prepared_Data!H221</f>
        <v>11</v>
      </c>
      <c r="J221" s="2">
        <f>Cleaned_Prepared_Data!I221</f>
        <v>95.9</v>
      </c>
      <c r="K221" s="2">
        <f>Cleaned_Prepared_Data!K221</f>
        <v>0</v>
      </c>
      <c r="L221" s="2">
        <f>Cleaned_Prepared_Data!L221</f>
        <v>3.9</v>
      </c>
      <c r="M221" s="2">
        <f t="shared" si="9"/>
        <v>1</v>
      </c>
      <c r="N221" s="2">
        <f t="shared" si="10"/>
        <v>0</v>
      </c>
      <c r="O221" s="2">
        <f t="shared" si="11"/>
        <v>0</v>
      </c>
    </row>
    <row r="222" spans="1:15" x14ac:dyDescent="0.35">
      <c r="A222" s="2" t="str">
        <f>Cleaned_Prepared_Data!A222</f>
        <v>STR-1056</v>
      </c>
      <c r="B222" s="2" t="str">
        <f>Cleaned_Prepared_Data!P222</f>
        <v>2025-01</v>
      </c>
      <c r="C222" s="2" t="str">
        <f>Cleaned_Prepared_Data!C222</f>
        <v>East</v>
      </c>
      <c r="D222" s="2" t="str">
        <f>Cleaned_Prepared_Data!D222</f>
        <v>High Street</v>
      </c>
      <c r="E222" s="2">
        <f>Cleaned_Prepared_Data!M222</f>
        <v>712219.81</v>
      </c>
      <c r="F222" s="2">
        <f>Cleaned_Prepared_Data!E222</f>
        <v>53367.73</v>
      </c>
      <c r="G222" s="2">
        <f>Cleaned_Prepared_Data!F222</f>
        <v>7291</v>
      </c>
      <c r="H222" s="2">
        <f>Cleaned_Prepared_Data!G222</f>
        <v>0.14599999999999999</v>
      </c>
      <c r="I222" s="2">
        <f>Cleaned_Prepared_Data!H222</f>
        <v>18</v>
      </c>
      <c r="J222" s="2">
        <f>Cleaned_Prepared_Data!I222</f>
        <v>90.6</v>
      </c>
      <c r="K222" s="2">
        <f>Cleaned_Prepared_Data!K222</f>
        <v>1</v>
      </c>
      <c r="L222" s="2">
        <f>Cleaned_Prepared_Data!L222</f>
        <v>3.8</v>
      </c>
      <c r="M222" s="2">
        <f t="shared" si="9"/>
        <v>0</v>
      </c>
      <c r="N222" s="2">
        <f t="shared" si="10"/>
        <v>1</v>
      </c>
      <c r="O222" s="2">
        <f t="shared" si="11"/>
        <v>0</v>
      </c>
    </row>
    <row r="223" spans="1:15" x14ac:dyDescent="0.35">
      <c r="A223" s="2" t="str">
        <f>Cleaned_Prepared_Data!A223</f>
        <v>STR-1056</v>
      </c>
      <c r="B223" s="2" t="str">
        <f>Cleaned_Prepared_Data!P223</f>
        <v>2025-02</v>
      </c>
      <c r="C223" s="2" t="str">
        <f>Cleaned_Prepared_Data!C223</f>
        <v>East</v>
      </c>
      <c r="D223" s="2" t="str">
        <f>Cleaned_Prepared_Data!D223</f>
        <v>High Street</v>
      </c>
      <c r="E223" s="2">
        <f>Cleaned_Prepared_Data!M223</f>
        <v>672670.54</v>
      </c>
      <c r="F223" s="2">
        <f>Cleaned_Prepared_Data!E223</f>
        <v>27194.639999999999</v>
      </c>
      <c r="G223" s="2">
        <f>Cleaned_Prepared_Data!F223</f>
        <v>7404</v>
      </c>
      <c r="H223" s="2">
        <f>Cleaned_Prepared_Data!G223</f>
        <v>8.7999999999999995E-2</v>
      </c>
      <c r="I223" s="2">
        <f>Cleaned_Prepared_Data!H223</f>
        <v>18</v>
      </c>
      <c r="J223" s="2">
        <f>Cleaned_Prepared_Data!I223</f>
        <v>90.2</v>
      </c>
      <c r="K223" s="2">
        <f>Cleaned_Prepared_Data!K223</f>
        <v>0</v>
      </c>
      <c r="L223" s="2">
        <f>Cleaned_Prepared_Data!L223</f>
        <v>3.4</v>
      </c>
      <c r="M223" s="2">
        <f t="shared" si="9"/>
        <v>0</v>
      </c>
      <c r="N223" s="2">
        <f t="shared" si="10"/>
        <v>1</v>
      </c>
      <c r="O223" s="2">
        <f t="shared" si="11"/>
        <v>0</v>
      </c>
    </row>
    <row r="224" spans="1:15" x14ac:dyDescent="0.35">
      <c r="A224" s="2" t="str">
        <f>Cleaned_Prepared_Data!A224</f>
        <v>STR-1056</v>
      </c>
      <c r="B224" s="2" t="str">
        <f>Cleaned_Prepared_Data!P224</f>
        <v>2025-03</v>
      </c>
      <c r="C224" s="2" t="str">
        <f>Cleaned_Prepared_Data!C224</f>
        <v>East</v>
      </c>
      <c r="D224" s="2" t="str">
        <f>Cleaned_Prepared_Data!D224</f>
        <v>High Street</v>
      </c>
      <c r="E224" s="2">
        <f>Cleaned_Prepared_Data!M224</f>
        <v>732667.92</v>
      </c>
      <c r="F224" s="2">
        <f>Cleaned_Prepared_Data!E224</f>
        <v>66962.740000000005</v>
      </c>
      <c r="G224" s="2">
        <f>Cleaned_Prepared_Data!F224</f>
        <v>7880</v>
      </c>
      <c r="H224" s="2">
        <f>Cleaned_Prepared_Data!G224</f>
        <v>0.11600000000000001</v>
      </c>
      <c r="I224" s="2">
        <f>Cleaned_Prepared_Data!H224</f>
        <v>19</v>
      </c>
      <c r="J224" s="2">
        <f>Cleaned_Prepared_Data!I224</f>
        <v>90.4</v>
      </c>
      <c r="K224" s="2">
        <f>Cleaned_Prepared_Data!K224</f>
        <v>0</v>
      </c>
      <c r="L224" s="2">
        <f>Cleaned_Prepared_Data!L224</f>
        <v>3.3</v>
      </c>
      <c r="M224" s="2">
        <f t="shared" si="9"/>
        <v>0</v>
      </c>
      <c r="N224" s="2">
        <f t="shared" si="10"/>
        <v>1</v>
      </c>
      <c r="O224" s="2">
        <f t="shared" si="11"/>
        <v>0</v>
      </c>
    </row>
    <row r="225" spans="1:15" x14ac:dyDescent="0.35">
      <c r="A225" s="2" t="str">
        <f>Cleaned_Prepared_Data!A225</f>
        <v>STR-1056</v>
      </c>
      <c r="B225" s="2" t="str">
        <f>Cleaned_Prepared_Data!P225</f>
        <v>2025-04</v>
      </c>
      <c r="C225" s="2" t="str">
        <f>Cleaned_Prepared_Data!C225</f>
        <v>East</v>
      </c>
      <c r="D225" s="2" t="str">
        <f>Cleaned_Prepared_Data!D225</f>
        <v>High Street</v>
      </c>
      <c r="E225" s="2">
        <f>Cleaned_Prepared_Data!M225</f>
        <v>723531.4</v>
      </c>
      <c r="F225" s="2">
        <f>Cleaned_Prepared_Data!E225</f>
        <v>73540.990000000005</v>
      </c>
      <c r="G225" s="2">
        <f>Cleaned_Prepared_Data!F225</f>
        <v>8773</v>
      </c>
      <c r="H225" s="2">
        <f>Cleaned_Prepared_Data!G225</f>
        <v>3.5000000000000003E-2</v>
      </c>
      <c r="I225" s="2">
        <f>Cleaned_Prepared_Data!H225</f>
        <v>21</v>
      </c>
      <c r="J225" s="2">
        <f>Cleaned_Prepared_Data!I225</f>
        <v>84.4</v>
      </c>
      <c r="K225" s="2">
        <f>Cleaned_Prepared_Data!K225</f>
        <v>0</v>
      </c>
      <c r="L225" s="2">
        <f>Cleaned_Prepared_Data!L225</f>
        <v>3.6</v>
      </c>
      <c r="M225" s="2">
        <f t="shared" si="9"/>
        <v>0</v>
      </c>
      <c r="N225" s="2">
        <f t="shared" si="10"/>
        <v>1</v>
      </c>
      <c r="O225" s="2">
        <f t="shared" si="11"/>
        <v>0</v>
      </c>
    </row>
    <row r="226" spans="1:15" x14ac:dyDescent="0.35">
      <c r="A226" s="2" t="str">
        <f>Cleaned_Prepared_Data!A226</f>
        <v>STR-1057</v>
      </c>
      <c r="B226" s="2" t="str">
        <f>Cleaned_Prepared_Data!P226</f>
        <v>2025-01</v>
      </c>
      <c r="C226" s="2" t="str">
        <f>Cleaned_Prepared_Data!C226</f>
        <v>East</v>
      </c>
      <c r="D226" s="2" t="str">
        <f>Cleaned_Prepared_Data!D226</f>
        <v>Mall</v>
      </c>
      <c r="E226" s="2">
        <f>Cleaned_Prepared_Data!M226</f>
        <v>641564.6</v>
      </c>
      <c r="F226" s="2">
        <f>Cleaned_Prepared_Data!E226</f>
        <v>68212.289999999994</v>
      </c>
      <c r="G226" s="2">
        <f>Cleaned_Prepared_Data!F226</f>
        <v>4713</v>
      </c>
      <c r="H226" s="2">
        <f>Cleaned_Prepared_Data!G226</f>
        <v>0.19800000000000001</v>
      </c>
      <c r="I226" s="2">
        <f>Cleaned_Prepared_Data!H226</f>
        <v>15</v>
      </c>
      <c r="J226" s="2">
        <f>Cleaned_Prepared_Data!I226</f>
        <v>82.6</v>
      </c>
      <c r="K226" s="2">
        <f>Cleaned_Prepared_Data!K226</f>
        <v>1</v>
      </c>
      <c r="L226" s="2">
        <f>Cleaned_Prepared_Data!L226</f>
        <v>3</v>
      </c>
      <c r="M226" s="2">
        <f t="shared" si="9"/>
        <v>0</v>
      </c>
      <c r="N226" s="2">
        <f t="shared" si="10"/>
        <v>0</v>
      </c>
      <c r="O226" s="2">
        <f t="shared" si="11"/>
        <v>1</v>
      </c>
    </row>
    <row r="227" spans="1:15" x14ac:dyDescent="0.35">
      <c r="A227" s="2" t="str">
        <f>Cleaned_Prepared_Data!A227</f>
        <v>STR-1057</v>
      </c>
      <c r="B227" s="2" t="str">
        <f>Cleaned_Prepared_Data!P227</f>
        <v>2025-02</v>
      </c>
      <c r="C227" s="2" t="str">
        <f>Cleaned_Prepared_Data!C227</f>
        <v>East</v>
      </c>
      <c r="D227" s="2" t="str">
        <f>Cleaned_Prepared_Data!D227</f>
        <v>Mall</v>
      </c>
      <c r="E227" s="2">
        <f>Cleaned_Prepared_Data!M227</f>
        <v>536545.49</v>
      </c>
      <c r="F227" s="2">
        <f>Cleaned_Prepared_Data!E227</f>
        <v>57225.98</v>
      </c>
      <c r="G227" s="2">
        <f>Cleaned_Prepared_Data!F227</f>
        <v>2842</v>
      </c>
      <c r="H227" s="2">
        <f>Cleaned_Prepared_Data!G227</f>
        <v>0.112</v>
      </c>
      <c r="I227" s="2">
        <f>Cleaned_Prepared_Data!H227</f>
        <v>10</v>
      </c>
      <c r="J227" s="2">
        <f>Cleaned_Prepared_Data!I227</f>
        <v>79.5</v>
      </c>
      <c r="K227" s="2">
        <f>Cleaned_Prepared_Data!K227</f>
        <v>0</v>
      </c>
      <c r="L227" s="2">
        <f>Cleaned_Prepared_Data!L227</f>
        <v>3.4</v>
      </c>
      <c r="M227" s="2">
        <f t="shared" si="9"/>
        <v>0</v>
      </c>
      <c r="N227" s="2">
        <f t="shared" si="10"/>
        <v>0</v>
      </c>
      <c r="O227" s="2">
        <f t="shared" si="11"/>
        <v>1</v>
      </c>
    </row>
    <row r="228" spans="1:15" x14ac:dyDescent="0.35">
      <c r="A228" s="2" t="str">
        <f>Cleaned_Prepared_Data!A228</f>
        <v>STR-1057</v>
      </c>
      <c r="B228" s="2" t="str">
        <f>Cleaned_Prepared_Data!P228</f>
        <v>2025-03</v>
      </c>
      <c r="C228" s="2" t="str">
        <f>Cleaned_Prepared_Data!C228</f>
        <v>East</v>
      </c>
      <c r="D228" s="2" t="str">
        <f>Cleaned_Prepared_Data!D228</f>
        <v>Mall</v>
      </c>
      <c r="E228" s="2">
        <f>Cleaned_Prepared_Data!M228</f>
        <v>527681.56000000006</v>
      </c>
      <c r="F228" s="2">
        <f>Cleaned_Prepared_Data!E228</f>
        <v>42932.02</v>
      </c>
      <c r="G228" s="2">
        <f>Cleaned_Prepared_Data!F228</f>
        <v>3872</v>
      </c>
      <c r="H228" s="2">
        <f>Cleaned_Prepared_Data!G228</f>
        <v>0.17100000000000001</v>
      </c>
      <c r="I228" s="2">
        <f>Cleaned_Prepared_Data!H228</f>
        <v>12</v>
      </c>
      <c r="J228" s="2">
        <f>Cleaned_Prepared_Data!I228</f>
        <v>83.2</v>
      </c>
      <c r="K228" s="2">
        <f>Cleaned_Prepared_Data!K228</f>
        <v>0</v>
      </c>
      <c r="L228" s="2">
        <f>Cleaned_Prepared_Data!L228</f>
        <v>3.3</v>
      </c>
      <c r="M228" s="2">
        <f t="shared" si="9"/>
        <v>0</v>
      </c>
      <c r="N228" s="2">
        <f t="shared" si="10"/>
        <v>0</v>
      </c>
      <c r="O228" s="2">
        <f t="shared" si="11"/>
        <v>1</v>
      </c>
    </row>
    <row r="229" spans="1:15" x14ac:dyDescent="0.35">
      <c r="A229" s="2" t="str">
        <f>Cleaned_Prepared_Data!A229</f>
        <v>STR-1057</v>
      </c>
      <c r="B229" s="2" t="str">
        <f>Cleaned_Prepared_Data!P229</f>
        <v>2025-04</v>
      </c>
      <c r="C229" s="2" t="str">
        <f>Cleaned_Prepared_Data!C229</f>
        <v>East</v>
      </c>
      <c r="D229" s="2" t="str">
        <f>Cleaned_Prepared_Data!D229</f>
        <v>Mall</v>
      </c>
      <c r="E229" s="2">
        <f>Cleaned_Prepared_Data!M229</f>
        <v>529598.93999999994</v>
      </c>
      <c r="F229" s="2">
        <f>Cleaned_Prepared_Data!E229</f>
        <v>39341.449999999997</v>
      </c>
      <c r="G229" s="2">
        <f>Cleaned_Prepared_Data!F229</f>
        <v>1375</v>
      </c>
      <c r="H229" s="2">
        <f>Cleaned_Prepared_Data!G229</f>
        <v>9.2999999999999999E-2</v>
      </c>
      <c r="I229" s="2">
        <f>Cleaned_Prepared_Data!H229</f>
        <v>5</v>
      </c>
      <c r="J229" s="2">
        <f>Cleaned_Prepared_Data!I229</f>
        <v>95</v>
      </c>
      <c r="K229" s="2">
        <f>Cleaned_Prepared_Data!K229</f>
        <v>0</v>
      </c>
      <c r="L229" s="2">
        <f>Cleaned_Prepared_Data!L229</f>
        <v>0</v>
      </c>
      <c r="M229" s="2">
        <f t="shared" si="9"/>
        <v>0</v>
      </c>
      <c r="N229" s="2">
        <f t="shared" si="10"/>
        <v>0</v>
      </c>
      <c r="O229" s="2">
        <f t="shared" si="11"/>
        <v>1</v>
      </c>
    </row>
    <row r="230" spans="1:15" x14ac:dyDescent="0.35">
      <c r="A230" s="2" t="str">
        <f>Cleaned_Prepared_Data!A230</f>
        <v>STR-1058</v>
      </c>
      <c r="B230" s="2" t="str">
        <f>Cleaned_Prepared_Data!P230</f>
        <v>2025-01</v>
      </c>
      <c r="C230" s="2" t="str">
        <f>Cleaned_Prepared_Data!C230</f>
        <v>East</v>
      </c>
      <c r="D230" s="2" t="str">
        <f>Cleaned_Prepared_Data!D230</f>
        <v>High Street</v>
      </c>
      <c r="E230" s="2">
        <f>Cleaned_Prepared_Data!M230</f>
        <v>570963.31000000006</v>
      </c>
      <c r="F230" s="2">
        <f>Cleaned_Prepared_Data!E230</f>
        <v>37324.230000000003</v>
      </c>
      <c r="G230" s="2">
        <f>Cleaned_Prepared_Data!F230</f>
        <v>5957</v>
      </c>
      <c r="H230" s="2">
        <f>Cleaned_Prepared_Data!G230</f>
        <v>7.0999999999999994E-2</v>
      </c>
      <c r="I230" s="2">
        <f>Cleaned_Prepared_Data!H230</f>
        <v>12</v>
      </c>
      <c r="J230" s="2">
        <f>Cleaned_Prepared_Data!I230</f>
        <v>85.9</v>
      </c>
      <c r="K230" s="2">
        <f>Cleaned_Prepared_Data!K230</f>
        <v>0</v>
      </c>
      <c r="L230" s="2">
        <f>Cleaned_Prepared_Data!L230</f>
        <v>3.8</v>
      </c>
      <c r="M230" s="2">
        <f t="shared" si="9"/>
        <v>0</v>
      </c>
      <c r="N230" s="2">
        <f t="shared" si="10"/>
        <v>1</v>
      </c>
      <c r="O230" s="2">
        <f t="shared" si="11"/>
        <v>0</v>
      </c>
    </row>
    <row r="231" spans="1:15" x14ac:dyDescent="0.35">
      <c r="A231" s="2" t="str">
        <f>Cleaned_Prepared_Data!A231</f>
        <v>STR-1058</v>
      </c>
      <c r="B231" s="2" t="str">
        <f>Cleaned_Prepared_Data!P231</f>
        <v>2025-02</v>
      </c>
      <c r="C231" s="2" t="str">
        <f>Cleaned_Prepared_Data!C231</f>
        <v>East</v>
      </c>
      <c r="D231" s="2" t="str">
        <f>Cleaned_Prepared_Data!D231</f>
        <v>High Street</v>
      </c>
      <c r="E231" s="2">
        <f>Cleaned_Prepared_Data!M231</f>
        <v>870937.4</v>
      </c>
      <c r="F231" s="2">
        <f>Cleaned_Prepared_Data!E231</f>
        <v>113736</v>
      </c>
      <c r="G231" s="2">
        <f>Cleaned_Prepared_Data!F231</f>
        <v>8961</v>
      </c>
      <c r="H231" s="2">
        <f>Cleaned_Prepared_Data!G231</f>
        <v>0.20200000000000001</v>
      </c>
      <c r="I231" s="2">
        <f>Cleaned_Prepared_Data!H231</f>
        <v>24</v>
      </c>
      <c r="J231" s="2">
        <f>Cleaned_Prepared_Data!I231</f>
        <v>86.2</v>
      </c>
      <c r="K231" s="2">
        <f>Cleaned_Prepared_Data!K231</f>
        <v>0</v>
      </c>
      <c r="L231" s="2">
        <f>Cleaned_Prepared_Data!L231</f>
        <v>4</v>
      </c>
      <c r="M231" s="2">
        <f t="shared" si="9"/>
        <v>0</v>
      </c>
      <c r="N231" s="2">
        <f t="shared" si="10"/>
        <v>1</v>
      </c>
      <c r="O231" s="2">
        <f t="shared" si="11"/>
        <v>0</v>
      </c>
    </row>
    <row r="232" spans="1:15" x14ac:dyDescent="0.35">
      <c r="A232" s="2" t="str">
        <f>Cleaned_Prepared_Data!A232</f>
        <v>STR-1058</v>
      </c>
      <c r="B232" s="2" t="str">
        <f>Cleaned_Prepared_Data!P232</f>
        <v>2025-03</v>
      </c>
      <c r="C232" s="2" t="str">
        <f>Cleaned_Prepared_Data!C232</f>
        <v>East</v>
      </c>
      <c r="D232" s="2" t="str">
        <f>Cleaned_Prepared_Data!D232</f>
        <v>High Street</v>
      </c>
      <c r="E232" s="2">
        <f>Cleaned_Prepared_Data!M232</f>
        <v>596969.27</v>
      </c>
      <c r="F232" s="2">
        <f>Cleaned_Prepared_Data!E232</f>
        <v>33173.949999999997</v>
      </c>
      <c r="G232" s="2">
        <f>Cleaned_Prepared_Data!F232</f>
        <v>6545</v>
      </c>
      <c r="H232" s="2">
        <f>Cleaned_Prepared_Data!G232</f>
        <v>0.16900000000000001</v>
      </c>
      <c r="I232" s="2">
        <f>Cleaned_Prepared_Data!H232</f>
        <v>15</v>
      </c>
      <c r="J232" s="2">
        <f>Cleaned_Prepared_Data!I232</f>
        <v>84.4</v>
      </c>
      <c r="K232" s="2">
        <f>Cleaned_Prepared_Data!K232</f>
        <v>0</v>
      </c>
      <c r="L232" s="2">
        <f>Cleaned_Prepared_Data!L232</f>
        <v>3.9</v>
      </c>
      <c r="M232" s="2">
        <f t="shared" si="9"/>
        <v>0</v>
      </c>
      <c r="N232" s="2">
        <f t="shared" si="10"/>
        <v>1</v>
      </c>
      <c r="O232" s="2">
        <f t="shared" si="11"/>
        <v>0</v>
      </c>
    </row>
    <row r="233" spans="1:15" x14ac:dyDescent="0.35">
      <c r="A233" s="2" t="str">
        <f>Cleaned_Prepared_Data!A233</f>
        <v>STR-1058</v>
      </c>
      <c r="B233" s="2" t="str">
        <f>Cleaned_Prepared_Data!P233</f>
        <v>2025-04</v>
      </c>
      <c r="C233" s="2" t="str">
        <f>Cleaned_Prepared_Data!C233</f>
        <v>East</v>
      </c>
      <c r="D233" s="2" t="str">
        <f>Cleaned_Prepared_Data!D233</f>
        <v>High Street</v>
      </c>
      <c r="E233" s="2">
        <f>Cleaned_Prepared_Data!M233</f>
        <v>647512.85</v>
      </c>
      <c r="F233" s="2">
        <f>Cleaned_Prepared_Data!E233</f>
        <v>25818.080000000002</v>
      </c>
      <c r="G233" s="2">
        <f>Cleaned_Prepared_Data!F233</f>
        <v>5457</v>
      </c>
      <c r="H233" s="2">
        <f>Cleaned_Prepared_Data!G233</f>
        <v>0</v>
      </c>
      <c r="I233" s="2">
        <f>Cleaned_Prepared_Data!H233</f>
        <v>11</v>
      </c>
      <c r="J233" s="2">
        <f>Cleaned_Prepared_Data!I233</f>
        <v>95.4</v>
      </c>
      <c r="K233" s="2">
        <f>Cleaned_Prepared_Data!K233</f>
        <v>0</v>
      </c>
      <c r="L233" s="2">
        <f>Cleaned_Prepared_Data!L233</f>
        <v>3.7</v>
      </c>
      <c r="M233" s="2">
        <f t="shared" si="9"/>
        <v>0</v>
      </c>
      <c r="N233" s="2">
        <f t="shared" si="10"/>
        <v>1</v>
      </c>
      <c r="O233" s="2">
        <f t="shared" si="11"/>
        <v>0</v>
      </c>
    </row>
    <row r="234" spans="1:15" x14ac:dyDescent="0.35">
      <c r="A234" s="2" t="str">
        <f>Cleaned_Prepared_Data!A234</f>
        <v>STR-1059</v>
      </c>
      <c r="B234" s="2" t="str">
        <f>Cleaned_Prepared_Data!P234</f>
        <v>2025-01</v>
      </c>
      <c r="C234" s="2" t="str">
        <f>Cleaned_Prepared_Data!C234</f>
        <v>West</v>
      </c>
      <c r="D234" s="2" t="str">
        <f>Cleaned_Prepared_Data!D234</f>
        <v>Residential</v>
      </c>
      <c r="E234" s="2">
        <f>Cleaned_Prepared_Data!M234</f>
        <v>658072.14</v>
      </c>
      <c r="F234" s="2">
        <f>Cleaned_Prepared_Data!E234</f>
        <v>47241.919999999998</v>
      </c>
      <c r="G234" s="2">
        <f>Cleaned_Prepared_Data!F234</f>
        <v>4264</v>
      </c>
      <c r="H234" s="2">
        <f>Cleaned_Prepared_Data!G234</f>
        <v>6.9000000000000006E-2</v>
      </c>
      <c r="I234" s="2">
        <f>Cleaned_Prepared_Data!H234</f>
        <v>13</v>
      </c>
      <c r="J234" s="2">
        <f>Cleaned_Prepared_Data!I234</f>
        <v>95.3</v>
      </c>
      <c r="K234" s="2">
        <f>Cleaned_Prepared_Data!K234</f>
        <v>0</v>
      </c>
      <c r="L234" s="2">
        <f>Cleaned_Prepared_Data!L234</f>
        <v>4.3</v>
      </c>
      <c r="M234" s="2">
        <f t="shared" si="9"/>
        <v>0</v>
      </c>
      <c r="N234" s="2">
        <f t="shared" si="10"/>
        <v>0</v>
      </c>
      <c r="O234" s="2">
        <f t="shared" si="11"/>
        <v>0</v>
      </c>
    </row>
    <row r="235" spans="1:15" x14ac:dyDescent="0.35">
      <c r="A235" s="2" t="str">
        <f>Cleaned_Prepared_Data!A235</f>
        <v>STR-1059</v>
      </c>
      <c r="B235" s="2" t="str">
        <f>Cleaned_Prepared_Data!P235</f>
        <v>2025-02</v>
      </c>
      <c r="C235" s="2" t="str">
        <f>Cleaned_Prepared_Data!C235</f>
        <v>West</v>
      </c>
      <c r="D235" s="2" t="str">
        <f>Cleaned_Prepared_Data!D235</f>
        <v>Residential</v>
      </c>
      <c r="E235" s="2">
        <f>Cleaned_Prepared_Data!M235</f>
        <v>723305.11</v>
      </c>
      <c r="F235" s="2">
        <f>Cleaned_Prepared_Data!E235</f>
        <v>61650.79</v>
      </c>
      <c r="G235" s="2">
        <f>Cleaned_Prepared_Data!F235</f>
        <v>5321</v>
      </c>
      <c r="H235" s="2">
        <f>Cleaned_Prepared_Data!G235</f>
        <v>0.126</v>
      </c>
      <c r="I235" s="2">
        <f>Cleaned_Prepared_Data!H235</f>
        <v>17</v>
      </c>
      <c r="J235" s="2">
        <f>Cleaned_Prepared_Data!I235</f>
        <v>89.2</v>
      </c>
      <c r="K235" s="2">
        <f>Cleaned_Prepared_Data!K235</f>
        <v>0</v>
      </c>
      <c r="L235" s="2">
        <f>Cleaned_Prepared_Data!L235</f>
        <v>4</v>
      </c>
      <c r="M235" s="2">
        <f t="shared" si="9"/>
        <v>0</v>
      </c>
      <c r="N235" s="2">
        <f t="shared" si="10"/>
        <v>0</v>
      </c>
      <c r="O235" s="2">
        <f t="shared" si="11"/>
        <v>0</v>
      </c>
    </row>
    <row r="236" spans="1:15" x14ac:dyDescent="0.35">
      <c r="A236" s="2" t="str">
        <f>Cleaned_Prepared_Data!A236</f>
        <v>STR-1059</v>
      </c>
      <c r="B236" s="2" t="str">
        <f>Cleaned_Prepared_Data!P236</f>
        <v>2025-03</v>
      </c>
      <c r="C236" s="2" t="str">
        <f>Cleaned_Prepared_Data!C236</f>
        <v>West</v>
      </c>
      <c r="D236" s="2" t="str">
        <f>Cleaned_Prepared_Data!D236</f>
        <v>Residential</v>
      </c>
      <c r="E236" s="2">
        <f>Cleaned_Prepared_Data!M236</f>
        <v>640666.53</v>
      </c>
      <c r="F236" s="2">
        <f>Cleaned_Prepared_Data!E236</f>
        <v>62582.71</v>
      </c>
      <c r="G236" s="2">
        <f>Cleaned_Prepared_Data!F236</f>
        <v>5479</v>
      </c>
      <c r="H236" s="2">
        <f>Cleaned_Prepared_Data!G236</f>
        <v>4.8000000000000001E-2</v>
      </c>
      <c r="I236" s="2">
        <f>Cleaned_Prepared_Data!H236</f>
        <v>16</v>
      </c>
      <c r="J236" s="2">
        <f>Cleaned_Prepared_Data!I236</f>
        <v>81.2</v>
      </c>
      <c r="K236" s="2">
        <f>Cleaned_Prepared_Data!K236</f>
        <v>0</v>
      </c>
      <c r="L236" s="2">
        <f>Cleaned_Prepared_Data!L236</f>
        <v>4.5</v>
      </c>
      <c r="M236" s="2">
        <f t="shared" si="9"/>
        <v>0</v>
      </c>
      <c r="N236" s="2">
        <f t="shared" si="10"/>
        <v>0</v>
      </c>
      <c r="O236" s="2">
        <f t="shared" si="11"/>
        <v>0</v>
      </c>
    </row>
    <row r="237" spans="1:15" x14ac:dyDescent="0.35">
      <c r="A237" s="2" t="str">
        <f>Cleaned_Prepared_Data!A237</f>
        <v>STR-1059</v>
      </c>
      <c r="B237" s="2" t="str">
        <f>Cleaned_Prepared_Data!P237</f>
        <v>2025-04</v>
      </c>
      <c r="C237" s="2" t="str">
        <f>Cleaned_Prepared_Data!C237</f>
        <v>West</v>
      </c>
      <c r="D237" s="2" t="str">
        <f>Cleaned_Prepared_Data!D237</f>
        <v>Residential</v>
      </c>
      <c r="E237" s="2">
        <f>Cleaned_Prepared_Data!M237</f>
        <v>670629.48</v>
      </c>
      <c r="F237" s="2">
        <f>Cleaned_Prepared_Data!E237</f>
        <v>47944.14</v>
      </c>
      <c r="G237" s="2">
        <f>Cleaned_Prepared_Data!F237</f>
        <v>6169</v>
      </c>
      <c r="H237" s="2">
        <f>Cleaned_Prepared_Data!G237</f>
        <v>0.11899999999999999</v>
      </c>
      <c r="I237" s="2">
        <f>Cleaned_Prepared_Data!H237</f>
        <v>17</v>
      </c>
      <c r="J237" s="2">
        <f>Cleaned_Prepared_Data!I237</f>
        <v>92.2</v>
      </c>
      <c r="K237" s="2">
        <f>Cleaned_Prepared_Data!K237</f>
        <v>0</v>
      </c>
      <c r="L237" s="2">
        <f>Cleaned_Prepared_Data!L237</f>
        <v>4.0999999999999996</v>
      </c>
      <c r="M237" s="2">
        <f t="shared" si="9"/>
        <v>0</v>
      </c>
      <c r="N237" s="2">
        <f t="shared" si="10"/>
        <v>0</v>
      </c>
      <c r="O237" s="2">
        <f t="shared" si="11"/>
        <v>0</v>
      </c>
    </row>
    <row r="238" spans="1:15" x14ac:dyDescent="0.35">
      <c r="A238" s="2" t="str">
        <f>Cleaned_Prepared_Data!A238</f>
        <v>STR-1060</v>
      </c>
      <c r="B238" s="2" t="str">
        <f>Cleaned_Prepared_Data!P238</f>
        <v>2025-01</v>
      </c>
      <c r="C238" s="2" t="str">
        <f>Cleaned_Prepared_Data!C238</f>
        <v>West</v>
      </c>
      <c r="D238" s="2" t="str">
        <f>Cleaned_Prepared_Data!D238</f>
        <v>Mall</v>
      </c>
      <c r="E238" s="2">
        <f>Cleaned_Prepared_Data!M238</f>
        <v>721079.35</v>
      </c>
      <c r="F238" s="2">
        <f>Cleaned_Prepared_Data!E238</f>
        <v>46495.4</v>
      </c>
      <c r="G238" s="2">
        <f>Cleaned_Prepared_Data!F238</f>
        <v>9908</v>
      </c>
      <c r="H238" s="2">
        <f>Cleaned_Prepared_Data!G238</f>
        <v>0.121</v>
      </c>
      <c r="I238" s="2">
        <f>Cleaned_Prepared_Data!H238</f>
        <v>22</v>
      </c>
      <c r="J238" s="2">
        <f>Cleaned_Prepared_Data!I238</f>
        <v>89.4</v>
      </c>
      <c r="K238" s="2">
        <f>Cleaned_Prepared_Data!K238</f>
        <v>0</v>
      </c>
      <c r="L238" s="2">
        <f>Cleaned_Prepared_Data!L238</f>
        <v>3.7</v>
      </c>
      <c r="M238" s="2">
        <f t="shared" si="9"/>
        <v>0</v>
      </c>
      <c r="N238" s="2">
        <f t="shared" si="10"/>
        <v>0</v>
      </c>
      <c r="O238" s="2">
        <f t="shared" si="11"/>
        <v>1</v>
      </c>
    </row>
    <row r="239" spans="1:15" x14ac:dyDescent="0.35">
      <c r="A239" s="2" t="str">
        <f>Cleaned_Prepared_Data!A239</f>
        <v>STR-1060</v>
      </c>
      <c r="B239" s="2" t="str">
        <f>Cleaned_Prepared_Data!P239</f>
        <v>2025-02</v>
      </c>
      <c r="C239" s="2" t="str">
        <f>Cleaned_Prepared_Data!C239</f>
        <v>West</v>
      </c>
      <c r="D239" s="2" t="str">
        <f>Cleaned_Prepared_Data!D239</f>
        <v>Mall</v>
      </c>
      <c r="E239" s="2">
        <f>Cleaned_Prepared_Data!M239</f>
        <v>810355.02</v>
      </c>
      <c r="F239" s="2">
        <f>Cleaned_Prepared_Data!E239</f>
        <v>72961.95</v>
      </c>
      <c r="G239" s="2">
        <f>Cleaned_Prepared_Data!F239</f>
        <v>9996</v>
      </c>
      <c r="H239" s="2">
        <f>Cleaned_Prepared_Data!G239</f>
        <v>0.106</v>
      </c>
      <c r="I239" s="2">
        <f>Cleaned_Prepared_Data!H239</f>
        <v>22</v>
      </c>
      <c r="J239" s="2">
        <f>Cleaned_Prepared_Data!I239</f>
        <v>89.1</v>
      </c>
      <c r="K239" s="2">
        <f>Cleaned_Prepared_Data!K239</f>
        <v>0</v>
      </c>
      <c r="L239" s="2">
        <f>Cleaned_Prepared_Data!L239</f>
        <v>3.4</v>
      </c>
      <c r="M239" s="2">
        <f t="shared" si="9"/>
        <v>0</v>
      </c>
      <c r="N239" s="2">
        <f t="shared" si="10"/>
        <v>0</v>
      </c>
      <c r="O239" s="2">
        <f t="shared" si="11"/>
        <v>1</v>
      </c>
    </row>
    <row r="240" spans="1:15" x14ac:dyDescent="0.35">
      <c r="A240" s="2" t="str">
        <f>Cleaned_Prepared_Data!A240</f>
        <v>STR-1060</v>
      </c>
      <c r="B240" s="2" t="str">
        <f>Cleaned_Prepared_Data!P240</f>
        <v>2025-03</v>
      </c>
      <c r="C240" s="2" t="str">
        <f>Cleaned_Prepared_Data!C240</f>
        <v>West</v>
      </c>
      <c r="D240" s="2" t="str">
        <f>Cleaned_Prepared_Data!D240</f>
        <v>Mall</v>
      </c>
      <c r="E240" s="2">
        <f>Cleaned_Prepared_Data!M240</f>
        <v>761919.25</v>
      </c>
      <c r="F240" s="2">
        <f>Cleaned_Prepared_Data!E240</f>
        <v>59060.05</v>
      </c>
      <c r="G240" s="2">
        <f>Cleaned_Prepared_Data!F240</f>
        <v>9702</v>
      </c>
      <c r="H240" s="2">
        <f>Cleaned_Prepared_Data!G240</f>
        <v>0.20100000000000001</v>
      </c>
      <c r="I240" s="2">
        <f>Cleaned_Prepared_Data!H240</f>
        <v>23</v>
      </c>
      <c r="J240" s="2">
        <f>Cleaned_Prepared_Data!I240</f>
        <v>80.900000000000006</v>
      </c>
      <c r="K240" s="2">
        <f>Cleaned_Prepared_Data!K240</f>
        <v>0</v>
      </c>
      <c r="L240" s="2">
        <f>Cleaned_Prepared_Data!L240</f>
        <v>3.2</v>
      </c>
      <c r="M240" s="2">
        <f t="shared" si="9"/>
        <v>0</v>
      </c>
      <c r="N240" s="2">
        <f t="shared" si="10"/>
        <v>0</v>
      </c>
      <c r="O240" s="2">
        <f t="shared" si="11"/>
        <v>1</v>
      </c>
    </row>
    <row r="241" spans="1:15" x14ac:dyDescent="0.35">
      <c r="A241" s="2" t="str">
        <f>Cleaned_Prepared_Data!A241</f>
        <v>STR-1060</v>
      </c>
      <c r="B241" s="2" t="str">
        <f>Cleaned_Prepared_Data!P241</f>
        <v>2025-04</v>
      </c>
      <c r="C241" s="2" t="str">
        <f>Cleaned_Prepared_Data!C241</f>
        <v>West</v>
      </c>
      <c r="D241" s="2" t="str">
        <f>Cleaned_Prepared_Data!D241</f>
        <v>Mall</v>
      </c>
      <c r="E241" s="2">
        <f>Cleaned_Prepared_Data!M241</f>
        <v>737070.18</v>
      </c>
      <c r="F241" s="2">
        <f>Cleaned_Prepared_Data!E241</f>
        <v>26248.1</v>
      </c>
      <c r="G241" s="2">
        <f>Cleaned_Prepared_Data!F241</f>
        <v>9314</v>
      </c>
      <c r="H241" s="2">
        <f>Cleaned_Prepared_Data!G241</f>
        <v>0.186</v>
      </c>
      <c r="I241" s="2">
        <f>Cleaned_Prepared_Data!H241</f>
        <v>21</v>
      </c>
      <c r="J241" s="2">
        <f>Cleaned_Prepared_Data!I241</f>
        <v>83.7</v>
      </c>
      <c r="K241" s="2">
        <f>Cleaned_Prepared_Data!K241</f>
        <v>0</v>
      </c>
      <c r="L241" s="2">
        <f>Cleaned_Prepared_Data!L241</f>
        <v>3.3</v>
      </c>
      <c r="M241" s="2">
        <f t="shared" si="9"/>
        <v>0</v>
      </c>
      <c r="N241" s="2">
        <f t="shared" si="10"/>
        <v>0</v>
      </c>
      <c r="O241" s="2">
        <f t="shared" si="11"/>
        <v>1</v>
      </c>
    </row>
    <row r="242" spans="1:15" x14ac:dyDescent="0.35">
      <c r="A242" s="2" t="str">
        <f>Cleaned_Prepared_Data!A242</f>
        <v>STR-1061</v>
      </c>
      <c r="B242" s="2" t="str">
        <f>Cleaned_Prepared_Data!P242</f>
        <v>2025-01</v>
      </c>
      <c r="C242" s="2" t="str">
        <f>Cleaned_Prepared_Data!C242</f>
        <v>South</v>
      </c>
      <c r="D242" s="2" t="str">
        <f>Cleaned_Prepared_Data!D242</f>
        <v>Airport</v>
      </c>
      <c r="E242" s="2">
        <f>Cleaned_Prepared_Data!M242</f>
        <v>776992.93</v>
      </c>
      <c r="F242" s="2">
        <f>Cleaned_Prepared_Data!E242</f>
        <v>69900.12</v>
      </c>
      <c r="G242" s="2">
        <f>Cleaned_Prepared_Data!F242</f>
        <v>8055</v>
      </c>
      <c r="H242" s="2">
        <f>Cleaned_Prepared_Data!G242</f>
        <v>0.28100000000000003</v>
      </c>
      <c r="I242" s="2">
        <f>Cleaned_Prepared_Data!H242</f>
        <v>22</v>
      </c>
      <c r="J242" s="2">
        <f>Cleaned_Prepared_Data!I242</f>
        <v>85.6</v>
      </c>
      <c r="K242" s="2">
        <f>Cleaned_Prepared_Data!K242</f>
        <v>1</v>
      </c>
      <c r="L242" s="2">
        <f>Cleaned_Prepared_Data!L242</f>
        <v>2.9</v>
      </c>
      <c r="M242" s="2">
        <f t="shared" si="9"/>
        <v>1</v>
      </c>
      <c r="N242" s="2">
        <f t="shared" si="10"/>
        <v>0</v>
      </c>
      <c r="O242" s="2">
        <f t="shared" si="11"/>
        <v>0</v>
      </c>
    </row>
    <row r="243" spans="1:15" x14ac:dyDescent="0.35">
      <c r="A243" s="2" t="str">
        <f>Cleaned_Prepared_Data!A243</f>
        <v>STR-1061</v>
      </c>
      <c r="B243" s="2" t="str">
        <f>Cleaned_Prepared_Data!P243</f>
        <v>2025-02</v>
      </c>
      <c r="C243" s="2" t="str">
        <f>Cleaned_Prepared_Data!C243</f>
        <v>South</v>
      </c>
      <c r="D243" s="2" t="str">
        <f>Cleaned_Prepared_Data!D243</f>
        <v>Airport</v>
      </c>
      <c r="E243" s="2">
        <f>Cleaned_Prepared_Data!M243</f>
        <v>676337.41</v>
      </c>
      <c r="F243" s="2">
        <f>Cleaned_Prepared_Data!E243</f>
        <v>51781.599999999999</v>
      </c>
      <c r="G243" s="2">
        <f>Cleaned_Prepared_Data!F243</f>
        <v>5648</v>
      </c>
      <c r="H243" s="2">
        <f>Cleaned_Prepared_Data!G243</f>
        <v>5.8999999999999997E-2</v>
      </c>
      <c r="I243" s="2">
        <f>Cleaned_Prepared_Data!H243</f>
        <v>13</v>
      </c>
      <c r="J243" s="2">
        <f>Cleaned_Prepared_Data!I243</f>
        <v>85.5</v>
      </c>
      <c r="K243" s="2">
        <f>Cleaned_Prepared_Data!K243</f>
        <v>0</v>
      </c>
      <c r="L243" s="2">
        <f>Cleaned_Prepared_Data!L243</f>
        <v>3.7</v>
      </c>
      <c r="M243" s="2">
        <f t="shared" si="9"/>
        <v>1</v>
      </c>
      <c r="N243" s="2">
        <f t="shared" si="10"/>
        <v>0</v>
      </c>
      <c r="O243" s="2">
        <f t="shared" si="11"/>
        <v>0</v>
      </c>
    </row>
    <row r="244" spans="1:15" x14ac:dyDescent="0.35">
      <c r="A244" s="2" t="str">
        <f>Cleaned_Prepared_Data!A244</f>
        <v>STR-1061</v>
      </c>
      <c r="B244" s="2" t="str">
        <f>Cleaned_Prepared_Data!P244</f>
        <v>2025-03</v>
      </c>
      <c r="C244" s="2" t="str">
        <f>Cleaned_Prepared_Data!C244</f>
        <v>South</v>
      </c>
      <c r="D244" s="2" t="str">
        <f>Cleaned_Prepared_Data!D244</f>
        <v>Airport</v>
      </c>
      <c r="E244" s="2">
        <f>Cleaned_Prepared_Data!M244</f>
        <v>828219.67</v>
      </c>
      <c r="F244" s="2">
        <f>Cleaned_Prepared_Data!E244</f>
        <v>70799.64</v>
      </c>
      <c r="G244" s="2">
        <f>Cleaned_Prepared_Data!F244</f>
        <v>10076</v>
      </c>
      <c r="H244" s="2">
        <f>Cleaned_Prepared_Data!G244</f>
        <v>0.152</v>
      </c>
      <c r="I244" s="2">
        <f>Cleaned_Prepared_Data!H244</f>
        <v>24</v>
      </c>
      <c r="J244" s="2">
        <f>Cleaned_Prepared_Data!I244</f>
        <v>84.8</v>
      </c>
      <c r="K244" s="2">
        <f>Cleaned_Prepared_Data!K244</f>
        <v>0</v>
      </c>
      <c r="L244" s="2">
        <f>Cleaned_Prepared_Data!L244</f>
        <v>3.5</v>
      </c>
      <c r="M244" s="2">
        <f t="shared" si="9"/>
        <v>1</v>
      </c>
      <c r="N244" s="2">
        <f t="shared" si="10"/>
        <v>0</v>
      </c>
      <c r="O244" s="2">
        <f t="shared" si="11"/>
        <v>0</v>
      </c>
    </row>
    <row r="245" spans="1:15" x14ac:dyDescent="0.35">
      <c r="A245" s="2" t="str">
        <f>Cleaned_Prepared_Data!A245</f>
        <v>STR-1061</v>
      </c>
      <c r="B245" s="2" t="str">
        <f>Cleaned_Prepared_Data!P245</f>
        <v>2025-04</v>
      </c>
      <c r="C245" s="2" t="str">
        <f>Cleaned_Prepared_Data!C245</f>
        <v>South</v>
      </c>
      <c r="D245" s="2" t="str">
        <f>Cleaned_Prepared_Data!D245</f>
        <v>Airport</v>
      </c>
      <c r="E245" s="2">
        <f>Cleaned_Prepared_Data!M245</f>
        <v>763159.92</v>
      </c>
      <c r="F245" s="2">
        <f>Cleaned_Prepared_Data!E245</f>
        <v>53546.34</v>
      </c>
      <c r="G245" s="2">
        <f>Cleaned_Prepared_Data!F245</f>
        <v>8004</v>
      </c>
      <c r="H245" s="2">
        <f>Cleaned_Prepared_Data!G245</f>
        <v>0</v>
      </c>
      <c r="I245" s="2">
        <f>Cleaned_Prepared_Data!H245</f>
        <v>21</v>
      </c>
      <c r="J245" s="2">
        <f>Cleaned_Prepared_Data!I245</f>
        <v>95.2</v>
      </c>
      <c r="K245" s="2">
        <f>Cleaned_Prepared_Data!K245</f>
        <v>0</v>
      </c>
      <c r="L245" s="2">
        <f>Cleaned_Prepared_Data!L245</f>
        <v>3</v>
      </c>
      <c r="M245" s="2">
        <f t="shared" si="9"/>
        <v>1</v>
      </c>
      <c r="N245" s="2">
        <f t="shared" si="10"/>
        <v>0</v>
      </c>
      <c r="O245" s="2">
        <f t="shared" si="11"/>
        <v>0</v>
      </c>
    </row>
    <row r="246" spans="1:15" x14ac:dyDescent="0.35">
      <c r="A246" s="2" t="str">
        <f>Cleaned_Prepared_Data!A246</f>
        <v>STR-1062</v>
      </c>
      <c r="B246" s="2" t="str">
        <f>Cleaned_Prepared_Data!P246</f>
        <v>2025-01</v>
      </c>
      <c r="C246" s="2" t="str">
        <f>Cleaned_Prepared_Data!C246</f>
        <v>East</v>
      </c>
      <c r="D246" s="2" t="str">
        <f>Cleaned_Prepared_Data!D246</f>
        <v>High Street</v>
      </c>
      <c r="E246" s="2">
        <f>Cleaned_Prepared_Data!M246</f>
        <v>802001.68</v>
      </c>
      <c r="F246" s="2">
        <f>Cleaned_Prepared_Data!E246</f>
        <v>76942.2</v>
      </c>
      <c r="G246" s="2">
        <f>Cleaned_Prepared_Data!F246</f>
        <v>8934</v>
      </c>
      <c r="H246" s="2">
        <f>Cleaned_Prepared_Data!G246</f>
        <v>8.4000000000000005E-2</v>
      </c>
      <c r="I246" s="2">
        <f>Cleaned_Prepared_Data!H246</f>
        <v>20</v>
      </c>
      <c r="J246" s="2">
        <f>Cleaned_Prepared_Data!I246</f>
        <v>91</v>
      </c>
      <c r="K246" s="2">
        <f>Cleaned_Prepared_Data!K246</f>
        <v>0</v>
      </c>
      <c r="L246" s="2">
        <f>Cleaned_Prepared_Data!L246</f>
        <v>3.2</v>
      </c>
      <c r="M246" s="2">
        <f t="shared" si="9"/>
        <v>0</v>
      </c>
      <c r="N246" s="2">
        <f t="shared" si="10"/>
        <v>1</v>
      </c>
      <c r="O246" s="2">
        <f t="shared" si="11"/>
        <v>0</v>
      </c>
    </row>
    <row r="247" spans="1:15" x14ac:dyDescent="0.35">
      <c r="A247" s="2" t="str">
        <f>Cleaned_Prepared_Data!A247</f>
        <v>STR-1062</v>
      </c>
      <c r="B247" s="2" t="str">
        <f>Cleaned_Prepared_Data!P247</f>
        <v>2025-02</v>
      </c>
      <c r="C247" s="2" t="str">
        <f>Cleaned_Prepared_Data!C247</f>
        <v>East</v>
      </c>
      <c r="D247" s="2" t="str">
        <f>Cleaned_Prepared_Data!D247</f>
        <v>High Street</v>
      </c>
      <c r="E247" s="2">
        <f>Cleaned_Prepared_Data!M247</f>
        <v>750471.34</v>
      </c>
      <c r="F247" s="2">
        <f>Cleaned_Prepared_Data!E247</f>
        <v>48060.78</v>
      </c>
      <c r="G247" s="2">
        <f>Cleaned_Prepared_Data!F247</f>
        <v>8733</v>
      </c>
      <c r="H247" s="2">
        <f>Cleaned_Prepared_Data!G247</f>
        <v>0</v>
      </c>
      <c r="I247" s="2">
        <f>Cleaned_Prepared_Data!H247</f>
        <v>20</v>
      </c>
      <c r="J247" s="2">
        <f>Cleaned_Prepared_Data!I247</f>
        <v>89.9</v>
      </c>
      <c r="K247" s="2">
        <f>Cleaned_Prepared_Data!K247</f>
        <v>0</v>
      </c>
      <c r="L247" s="2">
        <f>Cleaned_Prepared_Data!L247</f>
        <v>3.4</v>
      </c>
      <c r="M247" s="2">
        <f t="shared" si="9"/>
        <v>0</v>
      </c>
      <c r="N247" s="2">
        <f t="shared" si="10"/>
        <v>1</v>
      </c>
      <c r="O247" s="2">
        <f t="shared" si="11"/>
        <v>0</v>
      </c>
    </row>
    <row r="248" spans="1:15" x14ac:dyDescent="0.35">
      <c r="A248" s="2" t="str">
        <f>Cleaned_Prepared_Data!A248</f>
        <v>STR-1062</v>
      </c>
      <c r="B248" s="2" t="str">
        <f>Cleaned_Prepared_Data!P248</f>
        <v>2025-03</v>
      </c>
      <c r="C248" s="2" t="str">
        <f>Cleaned_Prepared_Data!C248</f>
        <v>East</v>
      </c>
      <c r="D248" s="2" t="str">
        <f>Cleaned_Prepared_Data!D248</f>
        <v>High Street</v>
      </c>
      <c r="E248" s="2">
        <f>Cleaned_Prepared_Data!M248</f>
        <v>679230.86</v>
      </c>
      <c r="F248" s="2">
        <f>Cleaned_Prepared_Data!E248</f>
        <v>57390.04</v>
      </c>
      <c r="G248" s="2">
        <f>Cleaned_Prepared_Data!F248</f>
        <v>7374</v>
      </c>
      <c r="H248" s="2">
        <f>Cleaned_Prepared_Data!G248</f>
        <v>0.21</v>
      </c>
      <c r="I248" s="2">
        <f>Cleaned_Prepared_Data!H248</f>
        <v>21</v>
      </c>
      <c r="J248" s="2">
        <f>Cleaned_Prepared_Data!I248</f>
        <v>91.8</v>
      </c>
      <c r="K248" s="2">
        <f>Cleaned_Prepared_Data!K248</f>
        <v>0</v>
      </c>
      <c r="L248" s="2">
        <f>Cleaned_Prepared_Data!L248</f>
        <v>3.1</v>
      </c>
      <c r="M248" s="2">
        <f t="shared" si="9"/>
        <v>0</v>
      </c>
      <c r="N248" s="2">
        <f t="shared" si="10"/>
        <v>1</v>
      </c>
      <c r="O248" s="2">
        <f t="shared" si="11"/>
        <v>0</v>
      </c>
    </row>
    <row r="249" spans="1:15" x14ac:dyDescent="0.35">
      <c r="A249" s="2" t="str">
        <f>Cleaned_Prepared_Data!A249</f>
        <v>STR-1062</v>
      </c>
      <c r="B249" s="2" t="str">
        <f>Cleaned_Prepared_Data!P249</f>
        <v>2025-04</v>
      </c>
      <c r="C249" s="2" t="str">
        <f>Cleaned_Prepared_Data!C249</f>
        <v>East</v>
      </c>
      <c r="D249" s="2" t="str">
        <f>Cleaned_Prepared_Data!D249</f>
        <v>High Street</v>
      </c>
      <c r="E249" s="2">
        <f>Cleaned_Prepared_Data!M249</f>
        <v>679888.74</v>
      </c>
      <c r="F249" s="2">
        <f>Cleaned_Prepared_Data!E249</f>
        <v>21536.18</v>
      </c>
      <c r="G249" s="2">
        <f>Cleaned_Prepared_Data!F249</f>
        <v>8119</v>
      </c>
      <c r="H249" s="2">
        <f>Cleaned_Prepared_Data!G249</f>
        <v>0.22700000000000001</v>
      </c>
      <c r="I249" s="2">
        <f>Cleaned_Prepared_Data!H249</f>
        <v>20</v>
      </c>
      <c r="J249" s="2">
        <f>Cleaned_Prepared_Data!I249</f>
        <v>90.4</v>
      </c>
      <c r="K249" s="2">
        <f>Cleaned_Prepared_Data!K249</f>
        <v>0</v>
      </c>
      <c r="L249" s="2">
        <f>Cleaned_Prepared_Data!L249</f>
        <v>3.3</v>
      </c>
      <c r="M249" s="2">
        <f t="shared" si="9"/>
        <v>0</v>
      </c>
      <c r="N249" s="2">
        <f t="shared" si="10"/>
        <v>1</v>
      </c>
      <c r="O249" s="2">
        <f t="shared" si="11"/>
        <v>0</v>
      </c>
    </row>
    <row r="250" spans="1:15" x14ac:dyDescent="0.35">
      <c r="A250" s="2" t="str">
        <f>Cleaned_Prepared_Data!A250</f>
        <v>STR-1063</v>
      </c>
      <c r="B250" s="2" t="str">
        <f>Cleaned_Prepared_Data!P250</f>
        <v>2025-01</v>
      </c>
      <c r="C250" s="2" t="str">
        <f>Cleaned_Prepared_Data!C250</f>
        <v>North</v>
      </c>
      <c r="D250" s="2" t="str">
        <f>Cleaned_Prepared_Data!D250</f>
        <v>High Street</v>
      </c>
      <c r="E250" s="2">
        <f>Cleaned_Prepared_Data!M250</f>
        <v>606783.67000000004</v>
      </c>
      <c r="F250" s="2">
        <f>Cleaned_Prepared_Data!E250</f>
        <v>40923.67</v>
      </c>
      <c r="G250" s="2">
        <f>Cleaned_Prepared_Data!F250</f>
        <v>3875</v>
      </c>
      <c r="H250" s="2">
        <f>Cleaned_Prepared_Data!G250</f>
        <v>0.15</v>
      </c>
      <c r="I250" s="2">
        <f>Cleaned_Prepared_Data!H250</f>
        <v>10</v>
      </c>
      <c r="J250" s="2">
        <f>Cleaned_Prepared_Data!I250</f>
        <v>96.1</v>
      </c>
      <c r="K250" s="2">
        <f>Cleaned_Prepared_Data!K250</f>
        <v>0</v>
      </c>
      <c r="L250" s="2">
        <f>Cleaned_Prepared_Data!L250</f>
        <v>3.8</v>
      </c>
      <c r="M250" s="2">
        <f t="shared" si="9"/>
        <v>0</v>
      </c>
      <c r="N250" s="2">
        <f t="shared" si="10"/>
        <v>1</v>
      </c>
      <c r="O250" s="2">
        <f t="shared" si="11"/>
        <v>0</v>
      </c>
    </row>
    <row r="251" spans="1:15" x14ac:dyDescent="0.35">
      <c r="A251" s="2" t="str">
        <f>Cleaned_Prepared_Data!A251</f>
        <v>STR-1063</v>
      </c>
      <c r="B251" s="2" t="str">
        <f>Cleaned_Prepared_Data!P251</f>
        <v>2025-02</v>
      </c>
      <c r="C251" s="2" t="str">
        <f>Cleaned_Prepared_Data!C251</f>
        <v>North</v>
      </c>
      <c r="D251" s="2" t="str">
        <f>Cleaned_Prepared_Data!D251</f>
        <v>High Street</v>
      </c>
      <c r="E251" s="2">
        <f>Cleaned_Prepared_Data!M251</f>
        <v>642751.42000000004</v>
      </c>
      <c r="F251" s="2">
        <f>Cleaned_Prepared_Data!E251</f>
        <v>72932.55</v>
      </c>
      <c r="G251" s="2">
        <f>Cleaned_Prepared_Data!F251</f>
        <v>5765</v>
      </c>
      <c r="H251" s="2">
        <f>Cleaned_Prepared_Data!G251</f>
        <v>2.5999999999999999E-2</v>
      </c>
      <c r="I251" s="2">
        <f>Cleaned_Prepared_Data!H251</f>
        <v>17</v>
      </c>
      <c r="J251" s="2">
        <f>Cleaned_Prepared_Data!I251</f>
        <v>81.8</v>
      </c>
      <c r="K251" s="2">
        <f>Cleaned_Prepared_Data!K251</f>
        <v>0</v>
      </c>
      <c r="L251" s="2">
        <f>Cleaned_Prepared_Data!L251</f>
        <v>3.6</v>
      </c>
      <c r="M251" s="2">
        <f t="shared" si="9"/>
        <v>0</v>
      </c>
      <c r="N251" s="2">
        <f t="shared" si="10"/>
        <v>1</v>
      </c>
      <c r="O251" s="2">
        <f t="shared" si="11"/>
        <v>0</v>
      </c>
    </row>
    <row r="252" spans="1:15" x14ac:dyDescent="0.35">
      <c r="A252" s="2" t="str">
        <f>Cleaned_Prepared_Data!A252</f>
        <v>STR-1063</v>
      </c>
      <c r="B252" s="2" t="str">
        <f>Cleaned_Prepared_Data!P252</f>
        <v>2025-03</v>
      </c>
      <c r="C252" s="2" t="str">
        <f>Cleaned_Prepared_Data!C252</f>
        <v>North</v>
      </c>
      <c r="D252" s="2" t="str">
        <f>Cleaned_Prepared_Data!D252</f>
        <v>High Street</v>
      </c>
      <c r="E252" s="2">
        <f>Cleaned_Prepared_Data!M252</f>
        <v>647953.78</v>
      </c>
      <c r="F252" s="2">
        <f>Cleaned_Prepared_Data!E252</f>
        <v>38361.93</v>
      </c>
      <c r="G252" s="2">
        <f>Cleaned_Prepared_Data!F252</f>
        <v>6322</v>
      </c>
      <c r="H252" s="2">
        <f>Cleaned_Prepared_Data!G252</f>
        <v>0.27300000000000002</v>
      </c>
      <c r="I252" s="2">
        <f>Cleaned_Prepared_Data!H252</f>
        <v>15</v>
      </c>
      <c r="J252" s="2">
        <f>Cleaned_Prepared_Data!I252</f>
        <v>88.4</v>
      </c>
      <c r="K252" s="2">
        <f>Cleaned_Prepared_Data!K252</f>
        <v>0</v>
      </c>
      <c r="L252" s="2">
        <f>Cleaned_Prepared_Data!L252</f>
        <v>4</v>
      </c>
      <c r="M252" s="2">
        <f t="shared" si="9"/>
        <v>0</v>
      </c>
      <c r="N252" s="2">
        <f t="shared" si="10"/>
        <v>1</v>
      </c>
      <c r="O252" s="2">
        <f t="shared" si="11"/>
        <v>0</v>
      </c>
    </row>
    <row r="253" spans="1:15" x14ac:dyDescent="0.35">
      <c r="A253" s="2" t="str">
        <f>Cleaned_Prepared_Data!A253</f>
        <v>STR-1063</v>
      </c>
      <c r="B253" s="2" t="str">
        <f>Cleaned_Prepared_Data!P253</f>
        <v>2025-04</v>
      </c>
      <c r="C253" s="2" t="str">
        <f>Cleaned_Prepared_Data!C253</f>
        <v>North</v>
      </c>
      <c r="D253" s="2" t="str">
        <f>Cleaned_Prepared_Data!D253</f>
        <v>High Street</v>
      </c>
      <c r="E253" s="2">
        <f>Cleaned_Prepared_Data!M253</f>
        <v>729440.45</v>
      </c>
      <c r="F253" s="2">
        <f>Cleaned_Prepared_Data!E253</f>
        <v>97480.94</v>
      </c>
      <c r="G253" s="2">
        <f>Cleaned_Prepared_Data!F253</f>
        <v>6840</v>
      </c>
      <c r="H253" s="2">
        <f>Cleaned_Prepared_Data!G253</f>
        <v>8.6999999999999994E-2</v>
      </c>
      <c r="I253" s="2">
        <f>Cleaned_Prepared_Data!H253</f>
        <v>14</v>
      </c>
      <c r="J253" s="2">
        <f>Cleaned_Prepared_Data!I253</f>
        <v>79.2</v>
      </c>
      <c r="K253" s="2">
        <f>Cleaned_Prepared_Data!K253</f>
        <v>0</v>
      </c>
      <c r="L253" s="2">
        <f>Cleaned_Prepared_Data!L253</f>
        <v>4</v>
      </c>
      <c r="M253" s="2">
        <f t="shared" si="9"/>
        <v>0</v>
      </c>
      <c r="N253" s="2">
        <f t="shared" si="10"/>
        <v>1</v>
      </c>
      <c r="O253" s="2">
        <f t="shared" si="11"/>
        <v>0</v>
      </c>
    </row>
    <row r="254" spans="1:15" x14ac:dyDescent="0.35">
      <c r="A254" s="2" t="str">
        <f>Cleaned_Prepared_Data!A254</f>
        <v>STR-1064</v>
      </c>
      <c r="B254" s="2" t="str">
        <f>Cleaned_Prepared_Data!P254</f>
        <v>2025-01</v>
      </c>
      <c r="C254" s="2" t="str">
        <f>Cleaned_Prepared_Data!C254</f>
        <v>South</v>
      </c>
      <c r="D254" s="2" t="str">
        <f>Cleaned_Prepared_Data!D254</f>
        <v>Airport</v>
      </c>
      <c r="E254" s="2">
        <f>Cleaned_Prepared_Data!M254</f>
        <v>764949</v>
      </c>
      <c r="F254" s="2">
        <f>Cleaned_Prepared_Data!E254</f>
        <v>81801.8</v>
      </c>
      <c r="G254" s="2">
        <f>Cleaned_Prepared_Data!F254</f>
        <v>6782</v>
      </c>
      <c r="H254" s="2">
        <f>Cleaned_Prepared_Data!G254</f>
        <v>0.05</v>
      </c>
      <c r="I254" s="2">
        <f>Cleaned_Prepared_Data!H254</f>
        <v>16</v>
      </c>
      <c r="J254" s="2">
        <f>Cleaned_Prepared_Data!I254</f>
        <v>99</v>
      </c>
      <c r="K254" s="2">
        <f>Cleaned_Prepared_Data!K254</f>
        <v>0</v>
      </c>
      <c r="L254" s="2">
        <f>Cleaned_Prepared_Data!L254</f>
        <v>3.7</v>
      </c>
      <c r="M254" s="2">
        <f t="shared" si="9"/>
        <v>1</v>
      </c>
      <c r="N254" s="2">
        <f t="shared" si="10"/>
        <v>0</v>
      </c>
      <c r="O254" s="2">
        <f t="shared" si="11"/>
        <v>0</v>
      </c>
    </row>
    <row r="255" spans="1:15" x14ac:dyDescent="0.35">
      <c r="A255" s="2" t="str">
        <f>Cleaned_Prepared_Data!A255</f>
        <v>STR-1064</v>
      </c>
      <c r="B255" s="2" t="str">
        <f>Cleaned_Prepared_Data!P255</f>
        <v>2025-02</v>
      </c>
      <c r="C255" s="2" t="str">
        <f>Cleaned_Prepared_Data!C255</f>
        <v>South</v>
      </c>
      <c r="D255" s="2" t="str">
        <f>Cleaned_Prepared_Data!D255</f>
        <v>Airport</v>
      </c>
      <c r="E255" s="2">
        <f>Cleaned_Prepared_Data!M255</f>
        <v>799046.94</v>
      </c>
      <c r="F255" s="2">
        <f>Cleaned_Prepared_Data!E255</f>
        <v>63582.11</v>
      </c>
      <c r="G255" s="2">
        <f>Cleaned_Prepared_Data!F255</f>
        <v>6856</v>
      </c>
      <c r="H255" s="2">
        <f>Cleaned_Prepared_Data!G255</f>
        <v>7.3999999999999996E-2</v>
      </c>
      <c r="I255" s="2">
        <f>Cleaned_Prepared_Data!H255</f>
        <v>17</v>
      </c>
      <c r="J255" s="2">
        <f>Cleaned_Prepared_Data!I255</f>
        <v>89.5</v>
      </c>
      <c r="K255" s="2">
        <f>Cleaned_Prepared_Data!K255</f>
        <v>0</v>
      </c>
      <c r="L255" s="2">
        <f>Cleaned_Prepared_Data!L255</f>
        <v>3.2</v>
      </c>
      <c r="M255" s="2">
        <f t="shared" si="9"/>
        <v>1</v>
      </c>
      <c r="N255" s="2">
        <f t="shared" si="10"/>
        <v>0</v>
      </c>
      <c r="O255" s="2">
        <f t="shared" si="11"/>
        <v>0</v>
      </c>
    </row>
    <row r="256" spans="1:15" x14ac:dyDescent="0.35">
      <c r="A256" s="2" t="str">
        <f>Cleaned_Prepared_Data!A256</f>
        <v>STR-1064</v>
      </c>
      <c r="B256" s="2" t="str">
        <f>Cleaned_Prepared_Data!P256</f>
        <v>2025-03</v>
      </c>
      <c r="C256" s="2" t="str">
        <f>Cleaned_Prepared_Data!C256</f>
        <v>South</v>
      </c>
      <c r="D256" s="2" t="str">
        <f>Cleaned_Prepared_Data!D256</f>
        <v>Airport</v>
      </c>
      <c r="E256" s="2">
        <f>Cleaned_Prepared_Data!M256</f>
        <v>720079.54</v>
      </c>
      <c r="F256" s="2">
        <f>Cleaned_Prepared_Data!E256</f>
        <v>75412.740000000005</v>
      </c>
      <c r="G256" s="2">
        <f>Cleaned_Prepared_Data!F256</f>
        <v>5641</v>
      </c>
      <c r="H256" s="2">
        <f>Cleaned_Prepared_Data!G256</f>
        <v>5.8999999999999997E-2</v>
      </c>
      <c r="I256" s="2">
        <f>Cleaned_Prepared_Data!H256</f>
        <v>13</v>
      </c>
      <c r="J256" s="2">
        <f>Cleaned_Prepared_Data!I256</f>
        <v>87.9</v>
      </c>
      <c r="K256" s="2">
        <f>Cleaned_Prepared_Data!K256</f>
        <v>0</v>
      </c>
      <c r="L256" s="2">
        <f>Cleaned_Prepared_Data!L256</f>
        <v>3.6</v>
      </c>
      <c r="M256" s="2">
        <f t="shared" si="9"/>
        <v>1</v>
      </c>
      <c r="N256" s="2">
        <f t="shared" si="10"/>
        <v>0</v>
      </c>
      <c r="O256" s="2">
        <f t="shared" si="11"/>
        <v>0</v>
      </c>
    </row>
    <row r="257" spans="1:15" x14ac:dyDescent="0.35">
      <c r="A257" s="2" t="str">
        <f>Cleaned_Prepared_Data!A257</f>
        <v>STR-1064</v>
      </c>
      <c r="B257" s="2" t="str">
        <f>Cleaned_Prepared_Data!P257</f>
        <v>2025-04</v>
      </c>
      <c r="C257" s="2" t="str">
        <f>Cleaned_Prepared_Data!C257</f>
        <v>South</v>
      </c>
      <c r="D257" s="2" t="str">
        <f>Cleaned_Prepared_Data!D257</f>
        <v>Airport</v>
      </c>
      <c r="E257" s="2">
        <f>Cleaned_Prepared_Data!M257</f>
        <v>612390.14</v>
      </c>
      <c r="F257" s="2">
        <f>Cleaned_Prepared_Data!E257</f>
        <v>36290.080000000002</v>
      </c>
      <c r="G257" s="2">
        <f>Cleaned_Prepared_Data!F257</f>
        <v>5787</v>
      </c>
      <c r="H257" s="2">
        <f>Cleaned_Prepared_Data!G257</f>
        <v>0</v>
      </c>
      <c r="I257" s="2">
        <f>Cleaned_Prepared_Data!H257</f>
        <v>17</v>
      </c>
      <c r="J257" s="2">
        <f>Cleaned_Prepared_Data!I257</f>
        <v>88.3</v>
      </c>
      <c r="K257" s="2">
        <f>Cleaned_Prepared_Data!K257</f>
        <v>0</v>
      </c>
      <c r="L257" s="2">
        <f>Cleaned_Prepared_Data!L257</f>
        <v>4.0999999999999996</v>
      </c>
      <c r="M257" s="2">
        <f t="shared" si="9"/>
        <v>1</v>
      </c>
      <c r="N257" s="2">
        <f t="shared" si="10"/>
        <v>0</v>
      </c>
      <c r="O257" s="2">
        <f t="shared" si="11"/>
        <v>0</v>
      </c>
    </row>
    <row r="258" spans="1:15" x14ac:dyDescent="0.35">
      <c r="A258" s="2" t="str">
        <f>Cleaned_Prepared_Data!A258</f>
        <v>STR-1065</v>
      </c>
      <c r="B258" s="2" t="str">
        <f>Cleaned_Prepared_Data!P258</f>
        <v>2025-01</v>
      </c>
      <c r="C258" s="2" t="str">
        <f>Cleaned_Prepared_Data!C258</f>
        <v>South</v>
      </c>
      <c r="D258" s="2" t="str">
        <f>Cleaned_Prepared_Data!D258</f>
        <v>Mall</v>
      </c>
      <c r="E258" s="2">
        <f>Cleaned_Prepared_Data!M258</f>
        <v>840108.12</v>
      </c>
      <c r="F258" s="2">
        <f>Cleaned_Prepared_Data!E258</f>
        <v>65272.58</v>
      </c>
      <c r="G258" s="2">
        <f>Cleaned_Prepared_Data!F258</f>
        <v>8165</v>
      </c>
      <c r="H258" s="2">
        <f>Cleaned_Prepared_Data!G258</f>
        <v>5.0999999999999997E-2</v>
      </c>
      <c r="I258" s="2">
        <f>Cleaned_Prepared_Data!H258</f>
        <v>19</v>
      </c>
      <c r="J258" s="2">
        <f>Cleaned_Prepared_Data!I258</f>
        <v>87.8</v>
      </c>
      <c r="K258" s="2">
        <f>Cleaned_Prepared_Data!K258</f>
        <v>1</v>
      </c>
      <c r="L258" s="2">
        <f>Cleaned_Prepared_Data!L258</f>
        <v>4.3</v>
      </c>
      <c r="M258" s="2">
        <f t="shared" ref="M258:M321" si="12">IF($D258="Airport",1,0)</f>
        <v>0</v>
      </c>
      <c r="N258" s="2">
        <f t="shared" ref="N258:N321" si="13">IF($D258="High Street",1,0)</f>
        <v>0</v>
      </c>
      <c r="O258" s="2">
        <f t="shared" ref="O258:O321" si="14">IF($D258="Mall",1,0)</f>
        <v>1</v>
      </c>
    </row>
    <row r="259" spans="1:15" x14ac:dyDescent="0.35">
      <c r="A259" s="2" t="str">
        <f>Cleaned_Prepared_Data!A259</f>
        <v>STR-1065</v>
      </c>
      <c r="B259" s="2" t="str">
        <f>Cleaned_Prepared_Data!P259</f>
        <v>2025-02</v>
      </c>
      <c r="C259" s="2" t="str">
        <f>Cleaned_Prepared_Data!C259</f>
        <v>South</v>
      </c>
      <c r="D259" s="2" t="str">
        <f>Cleaned_Prepared_Data!D259</f>
        <v>Mall</v>
      </c>
      <c r="E259" s="2">
        <f>Cleaned_Prepared_Data!M259</f>
        <v>697888.09</v>
      </c>
      <c r="F259" s="2">
        <f>Cleaned_Prepared_Data!E259</f>
        <v>28670.43</v>
      </c>
      <c r="G259" s="2">
        <f>Cleaned_Prepared_Data!F259</f>
        <v>7574</v>
      </c>
      <c r="H259" s="2">
        <f>Cleaned_Prepared_Data!G259</f>
        <v>0.114</v>
      </c>
      <c r="I259" s="2">
        <f>Cleaned_Prepared_Data!H259</f>
        <v>19</v>
      </c>
      <c r="J259" s="2">
        <f>Cleaned_Prepared_Data!I259</f>
        <v>82.7</v>
      </c>
      <c r="K259" s="2">
        <f>Cleaned_Prepared_Data!K259</f>
        <v>0</v>
      </c>
      <c r="L259" s="2">
        <f>Cleaned_Prepared_Data!L259</f>
        <v>4.5999999999999996</v>
      </c>
      <c r="M259" s="2">
        <f t="shared" si="12"/>
        <v>0</v>
      </c>
      <c r="N259" s="2">
        <f t="shared" si="13"/>
        <v>0</v>
      </c>
      <c r="O259" s="2">
        <f t="shared" si="14"/>
        <v>1</v>
      </c>
    </row>
    <row r="260" spans="1:15" x14ac:dyDescent="0.35">
      <c r="A260" s="2" t="str">
        <f>Cleaned_Prepared_Data!A260</f>
        <v>STR-1065</v>
      </c>
      <c r="B260" s="2" t="str">
        <f>Cleaned_Prepared_Data!P260</f>
        <v>2025-03</v>
      </c>
      <c r="C260" s="2" t="str">
        <f>Cleaned_Prepared_Data!C260</f>
        <v>South</v>
      </c>
      <c r="D260" s="2" t="str">
        <f>Cleaned_Prepared_Data!D260</f>
        <v>Mall</v>
      </c>
      <c r="E260" s="2">
        <f>Cleaned_Prepared_Data!M260</f>
        <v>746115.59</v>
      </c>
      <c r="F260" s="2">
        <f>Cleaned_Prepared_Data!E260</f>
        <v>44189.34</v>
      </c>
      <c r="G260" s="2">
        <f>Cleaned_Prepared_Data!F260</f>
        <v>8634</v>
      </c>
      <c r="H260" s="2">
        <f>Cleaned_Prepared_Data!G260</f>
        <v>0.14299999999999999</v>
      </c>
      <c r="I260" s="2">
        <f>Cleaned_Prepared_Data!H260</f>
        <v>19</v>
      </c>
      <c r="J260" s="2">
        <f>Cleaned_Prepared_Data!I260</f>
        <v>87.5</v>
      </c>
      <c r="K260" s="2">
        <f>Cleaned_Prepared_Data!K260</f>
        <v>0</v>
      </c>
      <c r="L260" s="2">
        <f>Cleaned_Prepared_Data!L260</f>
        <v>4.4000000000000004</v>
      </c>
      <c r="M260" s="2">
        <f t="shared" si="12"/>
        <v>0</v>
      </c>
      <c r="N260" s="2">
        <f t="shared" si="13"/>
        <v>0</v>
      </c>
      <c r="O260" s="2">
        <f t="shared" si="14"/>
        <v>1</v>
      </c>
    </row>
    <row r="261" spans="1:15" x14ac:dyDescent="0.35">
      <c r="A261" s="2" t="str">
        <f>Cleaned_Prepared_Data!A261</f>
        <v>STR-1065</v>
      </c>
      <c r="B261" s="2" t="str">
        <f>Cleaned_Prepared_Data!P261</f>
        <v>2025-04</v>
      </c>
      <c r="C261" s="2" t="str">
        <f>Cleaned_Prepared_Data!C261</f>
        <v>South</v>
      </c>
      <c r="D261" s="2" t="str">
        <f>Cleaned_Prepared_Data!D261</f>
        <v>Mall</v>
      </c>
      <c r="E261" s="2">
        <f>Cleaned_Prepared_Data!M261</f>
        <v>776110.32</v>
      </c>
      <c r="F261" s="2">
        <f>Cleaned_Prepared_Data!E261</f>
        <v>38397.82</v>
      </c>
      <c r="G261" s="2">
        <f>Cleaned_Prepared_Data!F261</f>
        <v>7836</v>
      </c>
      <c r="H261" s="2">
        <f>Cleaned_Prepared_Data!G261</f>
        <v>7.0000000000000001E-3</v>
      </c>
      <c r="I261" s="2">
        <f>Cleaned_Prepared_Data!H261</f>
        <v>21</v>
      </c>
      <c r="J261" s="2">
        <f>Cleaned_Prepared_Data!I261</f>
        <v>92.2</v>
      </c>
      <c r="K261" s="2">
        <f>Cleaned_Prepared_Data!K261</f>
        <v>0</v>
      </c>
      <c r="L261" s="2">
        <f>Cleaned_Prepared_Data!L261</f>
        <v>3.6</v>
      </c>
      <c r="M261" s="2">
        <f t="shared" si="12"/>
        <v>0</v>
      </c>
      <c r="N261" s="2">
        <f t="shared" si="13"/>
        <v>0</v>
      </c>
      <c r="O261" s="2">
        <f t="shared" si="14"/>
        <v>1</v>
      </c>
    </row>
    <row r="262" spans="1:15" x14ac:dyDescent="0.35">
      <c r="A262" s="2" t="str">
        <f>Cleaned_Prepared_Data!A262</f>
        <v>STR-1066</v>
      </c>
      <c r="B262" s="2" t="str">
        <f>Cleaned_Prepared_Data!P262</f>
        <v>2025-01</v>
      </c>
      <c r="C262" s="2" t="str">
        <f>Cleaned_Prepared_Data!C262</f>
        <v>West</v>
      </c>
      <c r="D262" s="2" t="str">
        <f>Cleaned_Prepared_Data!D262</f>
        <v>High Street</v>
      </c>
      <c r="E262" s="2">
        <f>Cleaned_Prepared_Data!M262</f>
        <v>528852.62</v>
      </c>
      <c r="F262" s="2">
        <f>Cleaned_Prepared_Data!E262</f>
        <v>14519.37</v>
      </c>
      <c r="G262" s="2">
        <f>Cleaned_Prepared_Data!F262</f>
        <v>3047</v>
      </c>
      <c r="H262" s="2">
        <f>Cleaned_Prepared_Data!G262</f>
        <v>0.13500000000000001</v>
      </c>
      <c r="I262" s="2">
        <f>Cleaned_Prepared_Data!H262</f>
        <v>10</v>
      </c>
      <c r="J262" s="2">
        <f>Cleaned_Prepared_Data!I262</f>
        <v>90.3</v>
      </c>
      <c r="K262" s="2">
        <f>Cleaned_Prepared_Data!K262</f>
        <v>0</v>
      </c>
      <c r="L262" s="2">
        <f>Cleaned_Prepared_Data!L262</f>
        <v>4.2</v>
      </c>
      <c r="M262" s="2">
        <f t="shared" si="12"/>
        <v>0</v>
      </c>
      <c r="N262" s="2">
        <f t="shared" si="13"/>
        <v>1</v>
      </c>
      <c r="O262" s="2">
        <f t="shared" si="14"/>
        <v>0</v>
      </c>
    </row>
    <row r="263" spans="1:15" x14ac:dyDescent="0.35">
      <c r="A263" s="2" t="str">
        <f>Cleaned_Prepared_Data!A263</f>
        <v>STR-1066</v>
      </c>
      <c r="B263" s="2" t="str">
        <f>Cleaned_Prepared_Data!P263</f>
        <v>2025-02</v>
      </c>
      <c r="C263" s="2" t="str">
        <f>Cleaned_Prepared_Data!C263</f>
        <v>West</v>
      </c>
      <c r="D263" s="2" t="str">
        <f>Cleaned_Prepared_Data!D263</f>
        <v>High Street</v>
      </c>
      <c r="E263" s="2">
        <f>Cleaned_Prepared_Data!M263</f>
        <v>605751.32999999996</v>
      </c>
      <c r="F263" s="2">
        <f>Cleaned_Prepared_Data!E263</f>
        <v>43288.2</v>
      </c>
      <c r="G263" s="2">
        <f>Cleaned_Prepared_Data!F263</f>
        <v>4783</v>
      </c>
      <c r="H263" s="2">
        <f>Cleaned_Prepared_Data!G263</f>
        <v>0.16900000000000001</v>
      </c>
      <c r="I263" s="2">
        <f>Cleaned_Prepared_Data!H263</f>
        <v>13</v>
      </c>
      <c r="J263" s="2">
        <f>Cleaned_Prepared_Data!I263</f>
        <v>87.3</v>
      </c>
      <c r="K263" s="2">
        <f>Cleaned_Prepared_Data!K263</f>
        <v>0</v>
      </c>
      <c r="L263" s="2">
        <f>Cleaned_Prepared_Data!L263</f>
        <v>4.2</v>
      </c>
      <c r="M263" s="2">
        <f t="shared" si="12"/>
        <v>0</v>
      </c>
      <c r="N263" s="2">
        <f t="shared" si="13"/>
        <v>1</v>
      </c>
      <c r="O263" s="2">
        <f t="shared" si="14"/>
        <v>0</v>
      </c>
    </row>
    <row r="264" spans="1:15" x14ac:dyDescent="0.35">
      <c r="A264" s="2" t="str">
        <f>Cleaned_Prepared_Data!A264</f>
        <v>STR-1066</v>
      </c>
      <c r="B264" s="2" t="str">
        <f>Cleaned_Prepared_Data!P264</f>
        <v>2025-03</v>
      </c>
      <c r="C264" s="2" t="str">
        <f>Cleaned_Prepared_Data!C264</f>
        <v>West</v>
      </c>
      <c r="D264" s="2" t="str">
        <f>Cleaned_Prepared_Data!D264</f>
        <v>High Street</v>
      </c>
      <c r="E264" s="2">
        <f>Cleaned_Prepared_Data!M264</f>
        <v>677640.65</v>
      </c>
      <c r="F264" s="2">
        <f>Cleaned_Prepared_Data!E264</f>
        <v>51450.55</v>
      </c>
      <c r="G264" s="2">
        <f>Cleaned_Prepared_Data!F264</f>
        <v>4902</v>
      </c>
      <c r="H264" s="2">
        <f>Cleaned_Prepared_Data!G264</f>
        <v>8.5999999999999993E-2</v>
      </c>
      <c r="I264" s="2">
        <f>Cleaned_Prepared_Data!H264</f>
        <v>11</v>
      </c>
      <c r="J264" s="2">
        <f>Cleaned_Prepared_Data!I264</f>
        <v>83.7</v>
      </c>
      <c r="K264" s="2">
        <f>Cleaned_Prepared_Data!K264</f>
        <v>1</v>
      </c>
      <c r="L264" s="2">
        <f>Cleaned_Prepared_Data!L264</f>
        <v>4.2</v>
      </c>
      <c r="M264" s="2">
        <f t="shared" si="12"/>
        <v>0</v>
      </c>
      <c r="N264" s="2">
        <f t="shared" si="13"/>
        <v>1</v>
      </c>
      <c r="O264" s="2">
        <f t="shared" si="14"/>
        <v>0</v>
      </c>
    </row>
    <row r="265" spans="1:15" x14ac:dyDescent="0.35">
      <c r="A265" s="2" t="str">
        <f>Cleaned_Prepared_Data!A265</f>
        <v>STR-1066</v>
      </c>
      <c r="B265" s="2" t="str">
        <f>Cleaned_Prepared_Data!P265</f>
        <v>2025-04</v>
      </c>
      <c r="C265" s="2" t="str">
        <f>Cleaned_Prepared_Data!C265</f>
        <v>West</v>
      </c>
      <c r="D265" s="2" t="str">
        <f>Cleaned_Prepared_Data!D265</f>
        <v>High Street</v>
      </c>
      <c r="E265" s="2">
        <f>Cleaned_Prepared_Data!M265</f>
        <v>636613.23</v>
      </c>
      <c r="F265" s="2">
        <f>Cleaned_Prepared_Data!E265</f>
        <v>58688.26</v>
      </c>
      <c r="G265" s="2">
        <f>Cleaned_Prepared_Data!F265</f>
        <v>4022</v>
      </c>
      <c r="H265" s="2">
        <f>Cleaned_Prepared_Data!G265</f>
        <v>0.217</v>
      </c>
      <c r="I265" s="2">
        <f>Cleaned_Prepared_Data!H265</f>
        <v>12</v>
      </c>
      <c r="J265" s="2">
        <f>Cleaned_Prepared_Data!I265</f>
        <v>93.8</v>
      </c>
      <c r="K265" s="2">
        <f>Cleaned_Prepared_Data!K265</f>
        <v>0</v>
      </c>
      <c r="L265" s="2">
        <f>Cleaned_Prepared_Data!L265</f>
        <v>3.7</v>
      </c>
      <c r="M265" s="2">
        <f t="shared" si="12"/>
        <v>0</v>
      </c>
      <c r="N265" s="2">
        <f t="shared" si="13"/>
        <v>1</v>
      </c>
      <c r="O265" s="2">
        <f t="shared" si="14"/>
        <v>0</v>
      </c>
    </row>
    <row r="266" spans="1:15" x14ac:dyDescent="0.35">
      <c r="A266" s="2" t="str">
        <f>Cleaned_Prepared_Data!A266</f>
        <v>STR-1067</v>
      </c>
      <c r="B266" s="2" t="str">
        <f>Cleaned_Prepared_Data!P266</f>
        <v>2025-01</v>
      </c>
      <c r="C266" s="2" t="str">
        <f>Cleaned_Prepared_Data!C266</f>
        <v>East</v>
      </c>
      <c r="D266" s="2" t="str">
        <f>Cleaned_Prepared_Data!D266</f>
        <v>High Street</v>
      </c>
      <c r="E266" s="2">
        <f>Cleaned_Prepared_Data!M266</f>
        <v>708985.19</v>
      </c>
      <c r="F266" s="2">
        <f>Cleaned_Prepared_Data!E266</f>
        <v>58981.91</v>
      </c>
      <c r="G266" s="2">
        <f>Cleaned_Prepared_Data!F266</f>
        <v>7324</v>
      </c>
      <c r="H266" s="2">
        <f>Cleaned_Prepared_Data!G266</f>
        <v>9.4E-2</v>
      </c>
      <c r="I266" s="2">
        <f>Cleaned_Prepared_Data!H266</f>
        <v>15</v>
      </c>
      <c r="J266" s="2">
        <f>Cleaned_Prepared_Data!I266</f>
        <v>95.8</v>
      </c>
      <c r="K266" s="2">
        <f>Cleaned_Prepared_Data!K266</f>
        <v>0</v>
      </c>
      <c r="L266" s="2">
        <f>Cleaned_Prepared_Data!L266</f>
        <v>3.5</v>
      </c>
      <c r="M266" s="2">
        <f t="shared" si="12"/>
        <v>0</v>
      </c>
      <c r="N266" s="2">
        <f t="shared" si="13"/>
        <v>1</v>
      </c>
      <c r="O266" s="2">
        <f t="shared" si="14"/>
        <v>0</v>
      </c>
    </row>
    <row r="267" spans="1:15" x14ac:dyDescent="0.35">
      <c r="A267" s="2" t="str">
        <f>Cleaned_Prepared_Data!A267</f>
        <v>STR-1067</v>
      </c>
      <c r="B267" s="2" t="str">
        <f>Cleaned_Prepared_Data!P267</f>
        <v>2025-02</v>
      </c>
      <c r="C267" s="2" t="str">
        <f>Cleaned_Prepared_Data!C267</f>
        <v>East</v>
      </c>
      <c r="D267" s="2" t="str">
        <f>Cleaned_Prepared_Data!D267</f>
        <v>High Street</v>
      </c>
      <c r="E267" s="2">
        <f>Cleaned_Prepared_Data!M267</f>
        <v>767792.94</v>
      </c>
      <c r="F267" s="2">
        <f>Cleaned_Prepared_Data!E267</f>
        <v>73454.539999999994</v>
      </c>
      <c r="G267" s="2">
        <f>Cleaned_Prepared_Data!F267</f>
        <v>8129</v>
      </c>
      <c r="H267" s="2">
        <f>Cleaned_Prepared_Data!G267</f>
        <v>0.21099999999999999</v>
      </c>
      <c r="I267" s="2">
        <f>Cleaned_Prepared_Data!H267</f>
        <v>20</v>
      </c>
      <c r="J267" s="2">
        <f>Cleaned_Prepared_Data!I267</f>
        <v>85.2</v>
      </c>
      <c r="K267" s="2">
        <f>Cleaned_Prepared_Data!K267</f>
        <v>0</v>
      </c>
      <c r="L267" s="2">
        <f>Cleaned_Prepared_Data!L267</f>
        <v>3.7</v>
      </c>
      <c r="M267" s="2">
        <f t="shared" si="12"/>
        <v>0</v>
      </c>
      <c r="N267" s="2">
        <f t="shared" si="13"/>
        <v>1</v>
      </c>
      <c r="O267" s="2">
        <f t="shared" si="14"/>
        <v>0</v>
      </c>
    </row>
    <row r="268" spans="1:15" x14ac:dyDescent="0.35">
      <c r="A268" s="2" t="str">
        <f>Cleaned_Prepared_Data!A268</f>
        <v>STR-1067</v>
      </c>
      <c r="B268" s="2" t="str">
        <f>Cleaned_Prepared_Data!P268</f>
        <v>2025-03</v>
      </c>
      <c r="C268" s="2" t="str">
        <f>Cleaned_Prepared_Data!C268</f>
        <v>East</v>
      </c>
      <c r="D268" s="2" t="str">
        <f>Cleaned_Prepared_Data!D268</f>
        <v>High Street</v>
      </c>
      <c r="E268" s="2">
        <f>Cleaned_Prepared_Data!M268</f>
        <v>745580.51</v>
      </c>
      <c r="F268" s="2">
        <f>Cleaned_Prepared_Data!E268</f>
        <v>56602.39</v>
      </c>
      <c r="G268" s="2">
        <f>Cleaned_Prepared_Data!F268</f>
        <v>7969</v>
      </c>
      <c r="H268" s="2">
        <f>Cleaned_Prepared_Data!G268</f>
        <v>0.17</v>
      </c>
      <c r="I268" s="2">
        <f>Cleaned_Prepared_Data!H268</f>
        <v>21</v>
      </c>
      <c r="J268" s="2">
        <f>Cleaned_Prepared_Data!I268</f>
        <v>88.3</v>
      </c>
      <c r="K268" s="2">
        <f>Cleaned_Prepared_Data!K268</f>
        <v>0</v>
      </c>
      <c r="L268" s="2">
        <f>Cleaned_Prepared_Data!L268</f>
        <v>3.7</v>
      </c>
      <c r="M268" s="2">
        <f t="shared" si="12"/>
        <v>0</v>
      </c>
      <c r="N268" s="2">
        <f t="shared" si="13"/>
        <v>1</v>
      </c>
      <c r="O268" s="2">
        <f t="shared" si="14"/>
        <v>0</v>
      </c>
    </row>
    <row r="269" spans="1:15" x14ac:dyDescent="0.35">
      <c r="A269" s="2" t="str">
        <f>Cleaned_Prepared_Data!A269</f>
        <v>STR-1067</v>
      </c>
      <c r="B269" s="2" t="str">
        <f>Cleaned_Prepared_Data!P269</f>
        <v>2025-04</v>
      </c>
      <c r="C269" s="2" t="str">
        <f>Cleaned_Prepared_Data!C269</f>
        <v>East</v>
      </c>
      <c r="D269" s="2" t="str">
        <f>Cleaned_Prepared_Data!D269</f>
        <v>High Street</v>
      </c>
      <c r="E269" s="2">
        <f>Cleaned_Prepared_Data!M269</f>
        <v>762328.31</v>
      </c>
      <c r="F269" s="2">
        <f>Cleaned_Prepared_Data!E269</f>
        <v>67722.289999999994</v>
      </c>
      <c r="G269" s="2">
        <f>Cleaned_Prepared_Data!F269</f>
        <v>7240</v>
      </c>
      <c r="H269" s="2">
        <f>Cleaned_Prepared_Data!G269</f>
        <v>2.5999999999999999E-2</v>
      </c>
      <c r="I269" s="2">
        <f>Cleaned_Prepared_Data!H269</f>
        <v>15</v>
      </c>
      <c r="J269" s="2">
        <f>Cleaned_Prepared_Data!I269</f>
        <v>92.9</v>
      </c>
      <c r="K269" s="2">
        <f>Cleaned_Prepared_Data!K269</f>
        <v>0</v>
      </c>
      <c r="L269" s="2">
        <f>Cleaned_Prepared_Data!L269</f>
        <v>3.5</v>
      </c>
      <c r="M269" s="2">
        <f t="shared" si="12"/>
        <v>0</v>
      </c>
      <c r="N269" s="2">
        <f t="shared" si="13"/>
        <v>1</v>
      </c>
      <c r="O269" s="2">
        <f t="shared" si="14"/>
        <v>0</v>
      </c>
    </row>
    <row r="270" spans="1:15" x14ac:dyDescent="0.35">
      <c r="A270" s="2" t="str">
        <f>Cleaned_Prepared_Data!A270</f>
        <v>STR-1068</v>
      </c>
      <c r="B270" s="2" t="str">
        <f>Cleaned_Prepared_Data!P270</f>
        <v>2025-01</v>
      </c>
      <c r="C270" s="2" t="str">
        <f>Cleaned_Prepared_Data!C270</f>
        <v>East</v>
      </c>
      <c r="D270" s="2" t="str">
        <f>Cleaned_Prepared_Data!D270</f>
        <v>Mall</v>
      </c>
      <c r="E270" s="2">
        <f>Cleaned_Prepared_Data!M270</f>
        <v>660633.99</v>
      </c>
      <c r="F270" s="2">
        <f>Cleaned_Prepared_Data!E270</f>
        <v>48752.92</v>
      </c>
      <c r="G270" s="2">
        <f>Cleaned_Prepared_Data!F270</f>
        <v>8052</v>
      </c>
      <c r="H270" s="2">
        <f>Cleaned_Prepared_Data!G270</f>
        <v>0.106</v>
      </c>
      <c r="I270" s="2">
        <f>Cleaned_Prepared_Data!H270</f>
        <v>16</v>
      </c>
      <c r="J270" s="2">
        <f>Cleaned_Prepared_Data!I270</f>
        <v>94.9</v>
      </c>
      <c r="K270" s="2">
        <f>Cleaned_Prepared_Data!K270</f>
        <v>0</v>
      </c>
      <c r="L270" s="2">
        <f>Cleaned_Prepared_Data!L270</f>
        <v>3.6</v>
      </c>
      <c r="M270" s="2">
        <f t="shared" si="12"/>
        <v>0</v>
      </c>
      <c r="N270" s="2">
        <f t="shared" si="13"/>
        <v>0</v>
      </c>
      <c r="O270" s="2">
        <f t="shared" si="14"/>
        <v>1</v>
      </c>
    </row>
    <row r="271" spans="1:15" x14ac:dyDescent="0.35">
      <c r="A271" s="2" t="str">
        <f>Cleaned_Prepared_Data!A271</f>
        <v>STR-1068</v>
      </c>
      <c r="B271" s="2" t="str">
        <f>Cleaned_Prepared_Data!P271</f>
        <v>2025-02</v>
      </c>
      <c r="C271" s="2" t="str">
        <f>Cleaned_Prepared_Data!C271</f>
        <v>East</v>
      </c>
      <c r="D271" s="2" t="str">
        <f>Cleaned_Prepared_Data!D271</f>
        <v>Mall</v>
      </c>
      <c r="E271" s="2">
        <f>Cleaned_Prepared_Data!M271</f>
        <v>739374.56</v>
      </c>
      <c r="F271" s="2">
        <f>Cleaned_Prepared_Data!E271</f>
        <v>23914.97</v>
      </c>
      <c r="G271" s="2">
        <f>Cleaned_Prepared_Data!F271</f>
        <v>8018</v>
      </c>
      <c r="H271" s="2">
        <f>Cleaned_Prepared_Data!G271</f>
        <v>0.13900000000000001</v>
      </c>
      <c r="I271" s="2">
        <f>Cleaned_Prepared_Data!H271</f>
        <v>20</v>
      </c>
      <c r="J271" s="2">
        <f>Cleaned_Prepared_Data!I271</f>
        <v>89</v>
      </c>
      <c r="K271" s="2">
        <f>Cleaned_Prepared_Data!K271</f>
        <v>0</v>
      </c>
      <c r="L271" s="2">
        <f>Cleaned_Prepared_Data!L271</f>
        <v>3.5</v>
      </c>
      <c r="M271" s="2">
        <f t="shared" si="12"/>
        <v>0</v>
      </c>
      <c r="N271" s="2">
        <f t="shared" si="13"/>
        <v>0</v>
      </c>
      <c r="O271" s="2">
        <f t="shared" si="14"/>
        <v>1</v>
      </c>
    </row>
    <row r="272" spans="1:15" x14ac:dyDescent="0.35">
      <c r="A272" s="2" t="str">
        <f>Cleaned_Prepared_Data!A272</f>
        <v>STR-1068</v>
      </c>
      <c r="B272" s="2" t="str">
        <f>Cleaned_Prepared_Data!P272</f>
        <v>2025-03</v>
      </c>
      <c r="C272" s="2" t="str">
        <f>Cleaned_Prepared_Data!C272</f>
        <v>East</v>
      </c>
      <c r="D272" s="2" t="str">
        <f>Cleaned_Prepared_Data!D272</f>
        <v>Mall</v>
      </c>
      <c r="E272" s="2">
        <f>Cleaned_Prepared_Data!M272</f>
        <v>799756.46</v>
      </c>
      <c r="F272" s="2">
        <f>Cleaned_Prepared_Data!E272</f>
        <v>61995.3</v>
      </c>
      <c r="G272" s="2">
        <f>Cleaned_Prepared_Data!F272</f>
        <v>10192</v>
      </c>
      <c r="H272" s="2">
        <f>Cleaned_Prepared_Data!G272</f>
        <v>0.19800000000000001</v>
      </c>
      <c r="I272" s="2">
        <f>Cleaned_Prepared_Data!H272</f>
        <v>21</v>
      </c>
      <c r="J272" s="2">
        <f>Cleaned_Prepared_Data!I272</f>
        <v>87.6</v>
      </c>
      <c r="K272" s="2">
        <f>Cleaned_Prepared_Data!K272</f>
        <v>1</v>
      </c>
      <c r="L272" s="2">
        <f>Cleaned_Prepared_Data!L272</f>
        <v>3.8</v>
      </c>
      <c r="M272" s="2">
        <f t="shared" si="12"/>
        <v>0</v>
      </c>
      <c r="N272" s="2">
        <f t="shared" si="13"/>
        <v>0</v>
      </c>
      <c r="O272" s="2">
        <f t="shared" si="14"/>
        <v>1</v>
      </c>
    </row>
    <row r="273" spans="1:15" x14ac:dyDescent="0.35">
      <c r="A273" s="2" t="str">
        <f>Cleaned_Prepared_Data!A273</f>
        <v>STR-1068</v>
      </c>
      <c r="B273" s="2" t="str">
        <f>Cleaned_Prepared_Data!P273</f>
        <v>2025-04</v>
      </c>
      <c r="C273" s="2" t="str">
        <f>Cleaned_Prepared_Data!C273</f>
        <v>East</v>
      </c>
      <c r="D273" s="2" t="str">
        <f>Cleaned_Prepared_Data!D273</f>
        <v>Mall</v>
      </c>
      <c r="E273" s="2">
        <f>Cleaned_Prepared_Data!M273</f>
        <v>593343</v>
      </c>
      <c r="F273" s="2">
        <f>Cleaned_Prepared_Data!E273</f>
        <v>29344.93</v>
      </c>
      <c r="G273" s="2">
        <f>Cleaned_Prepared_Data!F273</f>
        <v>7446</v>
      </c>
      <c r="H273" s="2">
        <f>Cleaned_Prepared_Data!G273</f>
        <v>0.111</v>
      </c>
      <c r="I273" s="2">
        <f>Cleaned_Prepared_Data!H273</f>
        <v>15</v>
      </c>
      <c r="J273" s="2">
        <f>Cleaned_Prepared_Data!I273</f>
        <v>86.2</v>
      </c>
      <c r="K273" s="2">
        <f>Cleaned_Prepared_Data!K273</f>
        <v>0</v>
      </c>
      <c r="L273" s="2">
        <f>Cleaned_Prepared_Data!L273</f>
        <v>3.2</v>
      </c>
      <c r="M273" s="2">
        <f t="shared" si="12"/>
        <v>0</v>
      </c>
      <c r="N273" s="2">
        <f t="shared" si="13"/>
        <v>0</v>
      </c>
      <c r="O273" s="2">
        <f t="shared" si="14"/>
        <v>1</v>
      </c>
    </row>
    <row r="274" spans="1:15" x14ac:dyDescent="0.35">
      <c r="A274" s="2" t="str">
        <f>Cleaned_Prepared_Data!A274</f>
        <v>STR-1069</v>
      </c>
      <c r="B274" s="2" t="str">
        <f>Cleaned_Prepared_Data!P274</f>
        <v>2025-01</v>
      </c>
      <c r="C274" s="2" t="str">
        <f>Cleaned_Prepared_Data!C274</f>
        <v>West</v>
      </c>
      <c r="D274" s="2" t="str">
        <f>Cleaned_Prepared_Data!D274</f>
        <v>High Street</v>
      </c>
      <c r="E274" s="2">
        <f>Cleaned_Prepared_Data!M274</f>
        <v>645039.97</v>
      </c>
      <c r="F274" s="2">
        <f>Cleaned_Prepared_Data!E274</f>
        <v>50532.17</v>
      </c>
      <c r="G274" s="2">
        <f>Cleaned_Prepared_Data!F274</f>
        <v>5689</v>
      </c>
      <c r="H274" s="2">
        <f>Cleaned_Prepared_Data!G274</f>
        <v>5.1999999999999998E-2</v>
      </c>
      <c r="I274" s="2">
        <f>Cleaned_Prepared_Data!H274</f>
        <v>17</v>
      </c>
      <c r="J274" s="2">
        <f>Cleaned_Prepared_Data!I274</f>
        <v>85.6</v>
      </c>
      <c r="K274" s="2">
        <f>Cleaned_Prepared_Data!K274</f>
        <v>0</v>
      </c>
      <c r="L274" s="2">
        <f>Cleaned_Prepared_Data!L274</f>
        <v>3.3</v>
      </c>
      <c r="M274" s="2">
        <f t="shared" si="12"/>
        <v>0</v>
      </c>
      <c r="N274" s="2">
        <f t="shared" si="13"/>
        <v>1</v>
      </c>
      <c r="O274" s="2">
        <f t="shared" si="14"/>
        <v>0</v>
      </c>
    </row>
    <row r="275" spans="1:15" x14ac:dyDescent="0.35">
      <c r="A275" s="2" t="str">
        <f>Cleaned_Prepared_Data!A275</f>
        <v>STR-1069</v>
      </c>
      <c r="B275" s="2" t="str">
        <f>Cleaned_Prepared_Data!P275</f>
        <v>2025-02</v>
      </c>
      <c r="C275" s="2" t="str">
        <f>Cleaned_Prepared_Data!C275</f>
        <v>West</v>
      </c>
      <c r="D275" s="2" t="str">
        <f>Cleaned_Prepared_Data!D275</f>
        <v>High Street</v>
      </c>
      <c r="E275" s="2">
        <f>Cleaned_Prepared_Data!M275</f>
        <v>561597.32999999996</v>
      </c>
      <c r="F275" s="2">
        <f>Cleaned_Prepared_Data!E275</f>
        <v>17562.57</v>
      </c>
      <c r="G275" s="2">
        <f>Cleaned_Prepared_Data!F275</f>
        <v>3326</v>
      </c>
      <c r="H275" s="2">
        <f>Cleaned_Prepared_Data!G275</f>
        <v>0.153</v>
      </c>
      <c r="I275" s="2">
        <f>Cleaned_Prepared_Data!H275</f>
        <v>14</v>
      </c>
      <c r="J275" s="2">
        <f>Cleaned_Prepared_Data!I275</f>
        <v>88.1</v>
      </c>
      <c r="K275" s="2">
        <f>Cleaned_Prepared_Data!K275</f>
        <v>0</v>
      </c>
      <c r="L275" s="2">
        <f>Cleaned_Prepared_Data!L275</f>
        <v>3.1</v>
      </c>
      <c r="M275" s="2">
        <f t="shared" si="12"/>
        <v>0</v>
      </c>
      <c r="N275" s="2">
        <f t="shared" si="13"/>
        <v>1</v>
      </c>
      <c r="O275" s="2">
        <f t="shared" si="14"/>
        <v>0</v>
      </c>
    </row>
    <row r="276" spans="1:15" x14ac:dyDescent="0.35">
      <c r="A276" s="2" t="str">
        <f>Cleaned_Prepared_Data!A276</f>
        <v>STR-1069</v>
      </c>
      <c r="B276" s="2" t="str">
        <f>Cleaned_Prepared_Data!P276</f>
        <v>2025-03</v>
      </c>
      <c r="C276" s="2" t="str">
        <f>Cleaned_Prepared_Data!C276</f>
        <v>West</v>
      </c>
      <c r="D276" s="2" t="str">
        <f>Cleaned_Prepared_Data!D276</f>
        <v>High Street</v>
      </c>
      <c r="E276" s="2">
        <f>Cleaned_Prepared_Data!M276</f>
        <v>635837.74</v>
      </c>
      <c r="F276" s="2">
        <f>Cleaned_Prepared_Data!E276</f>
        <v>47648.71</v>
      </c>
      <c r="G276" s="2">
        <f>Cleaned_Prepared_Data!F276</f>
        <v>5767</v>
      </c>
      <c r="H276" s="2">
        <f>Cleaned_Prepared_Data!G276</f>
        <v>0.14099999999999999</v>
      </c>
      <c r="I276" s="2">
        <f>Cleaned_Prepared_Data!H276</f>
        <v>17</v>
      </c>
      <c r="J276" s="2">
        <f>Cleaned_Prepared_Data!I276</f>
        <v>89.8</v>
      </c>
      <c r="K276" s="2">
        <f>Cleaned_Prepared_Data!K276</f>
        <v>0</v>
      </c>
      <c r="L276" s="2">
        <f>Cleaned_Prepared_Data!L276</f>
        <v>3.1</v>
      </c>
      <c r="M276" s="2">
        <f t="shared" si="12"/>
        <v>0</v>
      </c>
      <c r="N276" s="2">
        <f t="shared" si="13"/>
        <v>1</v>
      </c>
      <c r="O276" s="2">
        <f t="shared" si="14"/>
        <v>0</v>
      </c>
    </row>
    <row r="277" spans="1:15" x14ac:dyDescent="0.35">
      <c r="A277" s="2" t="str">
        <f>Cleaned_Prepared_Data!A277</f>
        <v>STR-1069</v>
      </c>
      <c r="B277" s="2" t="str">
        <f>Cleaned_Prepared_Data!P277</f>
        <v>2025-04</v>
      </c>
      <c r="C277" s="2" t="str">
        <f>Cleaned_Prepared_Data!C277</f>
        <v>West</v>
      </c>
      <c r="D277" s="2" t="str">
        <f>Cleaned_Prepared_Data!D277</f>
        <v>High Street</v>
      </c>
      <c r="E277" s="2">
        <f>Cleaned_Prepared_Data!M277</f>
        <v>686737.87</v>
      </c>
      <c r="F277" s="2">
        <f>Cleaned_Prepared_Data!E277</f>
        <v>38297.58</v>
      </c>
      <c r="G277" s="2">
        <f>Cleaned_Prepared_Data!F277</f>
        <v>5893</v>
      </c>
      <c r="H277" s="2">
        <f>Cleaned_Prepared_Data!G277</f>
        <v>0.247</v>
      </c>
      <c r="I277" s="2">
        <f>Cleaned_Prepared_Data!H277</f>
        <v>18</v>
      </c>
      <c r="J277" s="2">
        <f>Cleaned_Prepared_Data!I277</f>
        <v>77.599999999999994</v>
      </c>
      <c r="K277" s="2">
        <f>Cleaned_Prepared_Data!K277</f>
        <v>0</v>
      </c>
      <c r="L277" s="2">
        <f>Cleaned_Prepared_Data!L277</f>
        <v>3</v>
      </c>
      <c r="M277" s="2">
        <f t="shared" si="12"/>
        <v>0</v>
      </c>
      <c r="N277" s="2">
        <f t="shared" si="13"/>
        <v>1</v>
      </c>
      <c r="O277" s="2">
        <f t="shared" si="14"/>
        <v>0</v>
      </c>
    </row>
    <row r="278" spans="1:15" x14ac:dyDescent="0.35">
      <c r="A278" s="2" t="str">
        <f>Cleaned_Prepared_Data!A278</f>
        <v>STR-1070</v>
      </c>
      <c r="B278" s="2" t="str">
        <f>Cleaned_Prepared_Data!P278</f>
        <v>2025-01</v>
      </c>
      <c r="C278" s="2" t="str">
        <f>Cleaned_Prepared_Data!C278</f>
        <v>South</v>
      </c>
      <c r="D278" s="2" t="str">
        <f>Cleaned_Prepared_Data!D278</f>
        <v>Residential</v>
      </c>
      <c r="E278" s="2">
        <f>Cleaned_Prepared_Data!M278</f>
        <v>673076.34</v>
      </c>
      <c r="F278" s="2">
        <f>Cleaned_Prepared_Data!E278</f>
        <v>61784.11</v>
      </c>
      <c r="G278" s="2">
        <f>Cleaned_Prepared_Data!F278</f>
        <v>8564</v>
      </c>
      <c r="H278" s="2">
        <f>Cleaned_Prepared_Data!G278</f>
        <v>0.13</v>
      </c>
      <c r="I278" s="2">
        <f>Cleaned_Prepared_Data!H278</f>
        <v>17</v>
      </c>
      <c r="J278" s="2">
        <f>Cleaned_Prepared_Data!I278</f>
        <v>87.4</v>
      </c>
      <c r="K278" s="2">
        <f>Cleaned_Prepared_Data!K278</f>
        <v>1</v>
      </c>
      <c r="L278" s="2">
        <f>Cleaned_Prepared_Data!L278</f>
        <v>3.4</v>
      </c>
      <c r="M278" s="2">
        <f t="shared" si="12"/>
        <v>0</v>
      </c>
      <c r="N278" s="2">
        <f t="shared" si="13"/>
        <v>0</v>
      </c>
      <c r="O278" s="2">
        <f t="shared" si="14"/>
        <v>0</v>
      </c>
    </row>
    <row r="279" spans="1:15" x14ac:dyDescent="0.35">
      <c r="A279" s="2" t="str">
        <f>Cleaned_Prepared_Data!A279</f>
        <v>STR-1070</v>
      </c>
      <c r="B279" s="2" t="str">
        <f>Cleaned_Prepared_Data!P279</f>
        <v>2025-02</v>
      </c>
      <c r="C279" s="2" t="str">
        <f>Cleaned_Prepared_Data!C279</f>
        <v>South</v>
      </c>
      <c r="D279" s="2" t="str">
        <f>Cleaned_Prepared_Data!D279</f>
        <v>Residential</v>
      </c>
      <c r="E279" s="2">
        <f>Cleaned_Prepared_Data!M279</f>
        <v>738548.42</v>
      </c>
      <c r="F279" s="2">
        <f>Cleaned_Prepared_Data!E279</f>
        <v>36832.33</v>
      </c>
      <c r="G279" s="2">
        <f>Cleaned_Prepared_Data!F279</f>
        <v>8001</v>
      </c>
      <c r="H279" s="2">
        <f>Cleaned_Prepared_Data!G279</f>
        <v>0</v>
      </c>
      <c r="I279" s="2">
        <f>Cleaned_Prepared_Data!H279</f>
        <v>19</v>
      </c>
      <c r="J279" s="2">
        <f>Cleaned_Prepared_Data!I279</f>
        <v>88.7</v>
      </c>
      <c r="K279" s="2">
        <f>Cleaned_Prepared_Data!K279</f>
        <v>0</v>
      </c>
      <c r="L279" s="2">
        <f>Cleaned_Prepared_Data!L279</f>
        <v>4</v>
      </c>
      <c r="M279" s="2">
        <f t="shared" si="12"/>
        <v>0</v>
      </c>
      <c r="N279" s="2">
        <f t="shared" si="13"/>
        <v>0</v>
      </c>
      <c r="O279" s="2">
        <f t="shared" si="14"/>
        <v>0</v>
      </c>
    </row>
    <row r="280" spans="1:15" x14ac:dyDescent="0.35">
      <c r="A280" s="2" t="str">
        <f>Cleaned_Prepared_Data!A280</f>
        <v>STR-1070</v>
      </c>
      <c r="B280" s="2" t="str">
        <f>Cleaned_Prepared_Data!P280</f>
        <v>2025-03</v>
      </c>
      <c r="C280" s="2" t="str">
        <f>Cleaned_Prepared_Data!C280</f>
        <v>South</v>
      </c>
      <c r="D280" s="2" t="str">
        <f>Cleaned_Prepared_Data!D280</f>
        <v>Residential</v>
      </c>
      <c r="E280" s="2">
        <f>Cleaned_Prepared_Data!M280</f>
        <v>756619.77</v>
      </c>
      <c r="F280" s="2">
        <f>Cleaned_Prepared_Data!E280</f>
        <v>48609.41</v>
      </c>
      <c r="G280" s="2">
        <f>Cleaned_Prepared_Data!F280</f>
        <v>9324</v>
      </c>
      <c r="H280" s="2">
        <f>Cleaned_Prepared_Data!G280</f>
        <v>0.21299999999999999</v>
      </c>
      <c r="I280" s="2">
        <f>Cleaned_Prepared_Data!H280</f>
        <v>18</v>
      </c>
      <c r="J280" s="2">
        <f>Cleaned_Prepared_Data!I280</f>
        <v>86.5</v>
      </c>
      <c r="K280" s="2">
        <f>Cleaned_Prepared_Data!K280</f>
        <v>0</v>
      </c>
      <c r="L280" s="2">
        <f>Cleaned_Prepared_Data!L280</f>
        <v>3.9</v>
      </c>
      <c r="M280" s="2">
        <f t="shared" si="12"/>
        <v>0</v>
      </c>
      <c r="N280" s="2">
        <f t="shared" si="13"/>
        <v>0</v>
      </c>
      <c r="O280" s="2">
        <f t="shared" si="14"/>
        <v>0</v>
      </c>
    </row>
    <row r="281" spans="1:15" x14ac:dyDescent="0.35">
      <c r="A281" s="2" t="str">
        <f>Cleaned_Prepared_Data!A281</f>
        <v>STR-1070</v>
      </c>
      <c r="B281" s="2" t="str">
        <f>Cleaned_Prepared_Data!P281</f>
        <v>2025-04</v>
      </c>
      <c r="C281" s="2" t="str">
        <f>Cleaned_Prepared_Data!C281</f>
        <v>South</v>
      </c>
      <c r="D281" s="2" t="str">
        <f>Cleaned_Prepared_Data!D281</f>
        <v>Residential</v>
      </c>
      <c r="E281" s="2">
        <f>Cleaned_Prepared_Data!M281</f>
        <v>761122.42</v>
      </c>
      <c r="F281" s="2">
        <f>Cleaned_Prepared_Data!E281</f>
        <v>70284.06</v>
      </c>
      <c r="G281" s="2">
        <f>Cleaned_Prepared_Data!F281</f>
        <v>9109</v>
      </c>
      <c r="H281" s="2">
        <f>Cleaned_Prepared_Data!G281</f>
        <v>4.0000000000000001E-3</v>
      </c>
      <c r="I281" s="2">
        <f>Cleaned_Prepared_Data!H281</f>
        <v>23</v>
      </c>
      <c r="J281" s="2">
        <f>Cleaned_Prepared_Data!I281</f>
        <v>87</v>
      </c>
      <c r="K281" s="2">
        <f>Cleaned_Prepared_Data!K281</f>
        <v>0</v>
      </c>
      <c r="L281" s="2">
        <f>Cleaned_Prepared_Data!L281</f>
        <v>3.7</v>
      </c>
      <c r="M281" s="2">
        <f t="shared" si="12"/>
        <v>0</v>
      </c>
      <c r="N281" s="2">
        <f t="shared" si="13"/>
        <v>0</v>
      </c>
      <c r="O281" s="2">
        <f t="shared" si="14"/>
        <v>0</v>
      </c>
    </row>
    <row r="282" spans="1:15" x14ac:dyDescent="0.35">
      <c r="A282" s="2" t="str">
        <f>Cleaned_Prepared_Data!A282</f>
        <v>STR-1071</v>
      </c>
      <c r="B282" s="2" t="str">
        <f>Cleaned_Prepared_Data!P282</f>
        <v>2025-01</v>
      </c>
      <c r="C282" s="2" t="str">
        <f>Cleaned_Prepared_Data!C282</f>
        <v>South</v>
      </c>
      <c r="D282" s="2" t="str">
        <f>Cleaned_Prepared_Data!D282</f>
        <v>High Street</v>
      </c>
      <c r="E282" s="2">
        <f>Cleaned_Prepared_Data!M282</f>
        <v>524899.56999999995</v>
      </c>
      <c r="F282" s="2">
        <f>Cleaned_Prepared_Data!E282</f>
        <v>45940.39</v>
      </c>
      <c r="G282" s="2">
        <f>Cleaned_Prepared_Data!F282</f>
        <v>4022</v>
      </c>
      <c r="H282" s="2">
        <f>Cleaned_Prepared_Data!G282</f>
        <v>6.9000000000000006E-2</v>
      </c>
      <c r="I282" s="2">
        <f>Cleaned_Prepared_Data!H282</f>
        <v>10</v>
      </c>
      <c r="J282" s="2">
        <f>Cleaned_Prepared_Data!I282</f>
        <v>83</v>
      </c>
      <c r="K282" s="2">
        <f>Cleaned_Prepared_Data!K282</f>
        <v>1</v>
      </c>
      <c r="L282" s="2">
        <f>Cleaned_Prepared_Data!L282</f>
        <v>3.8</v>
      </c>
      <c r="M282" s="2">
        <f t="shared" si="12"/>
        <v>0</v>
      </c>
      <c r="N282" s="2">
        <f t="shared" si="13"/>
        <v>1</v>
      </c>
      <c r="O282" s="2">
        <f t="shared" si="14"/>
        <v>0</v>
      </c>
    </row>
    <row r="283" spans="1:15" x14ac:dyDescent="0.35">
      <c r="A283" s="2" t="str">
        <f>Cleaned_Prepared_Data!A283</f>
        <v>STR-1071</v>
      </c>
      <c r="B283" s="2" t="str">
        <f>Cleaned_Prepared_Data!P283</f>
        <v>2025-02</v>
      </c>
      <c r="C283" s="2" t="str">
        <f>Cleaned_Prepared_Data!C283</f>
        <v>South</v>
      </c>
      <c r="D283" s="2" t="str">
        <f>Cleaned_Prepared_Data!D283</f>
        <v>High Street</v>
      </c>
      <c r="E283" s="2">
        <f>Cleaned_Prepared_Data!M283</f>
        <v>555557.77</v>
      </c>
      <c r="F283" s="2">
        <f>Cleaned_Prepared_Data!E283</f>
        <v>34771.26</v>
      </c>
      <c r="G283" s="2">
        <f>Cleaned_Prepared_Data!F283</f>
        <v>4355</v>
      </c>
      <c r="H283" s="2">
        <f>Cleaned_Prepared_Data!G283</f>
        <v>5.0999999999999997E-2</v>
      </c>
      <c r="I283" s="2">
        <f>Cleaned_Prepared_Data!H283</f>
        <v>15</v>
      </c>
      <c r="J283" s="2">
        <f>Cleaned_Prepared_Data!I283</f>
        <v>87.9</v>
      </c>
      <c r="K283" s="2">
        <f>Cleaned_Prepared_Data!K283</f>
        <v>0</v>
      </c>
      <c r="L283" s="2">
        <f>Cleaned_Prepared_Data!L283</f>
        <v>4</v>
      </c>
      <c r="M283" s="2">
        <f t="shared" si="12"/>
        <v>0</v>
      </c>
      <c r="N283" s="2">
        <f t="shared" si="13"/>
        <v>1</v>
      </c>
      <c r="O283" s="2">
        <f t="shared" si="14"/>
        <v>0</v>
      </c>
    </row>
    <row r="284" spans="1:15" x14ac:dyDescent="0.35">
      <c r="A284" s="2" t="str">
        <f>Cleaned_Prepared_Data!A284</f>
        <v>STR-1071</v>
      </c>
      <c r="B284" s="2" t="str">
        <f>Cleaned_Prepared_Data!P284</f>
        <v>2025-03</v>
      </c>
      <c r="C284" s="2" t="str">
        <f>Cleaned_Prepared_Data!C284</f>
        <v>South</v>
      </c>
      <c r="D284" s="2" t="str">
        <f>Cleaned_Prepared_Data!D284</f>
        <v>High Street</v>
      </c>
      <c r="E284" s="2">
        <f>Cleaned_Prepared_Data!M284</f>
        <v>714083.68</v>
      </c>
      <c r="F284" s="2">
        <f>Cleaned_Prepared_Data!E284</f>
        <v>66104.19</v>
      </c>
      <c r="G284" s="2">
        <f>Cleaned_Prepared_Data!F284</f>
        <v>5745</v>
      </c>
      <c r="H284" s="2">
        <f>Cleaned_Prepared_Data!G284</f>
        <v>7.0000000000000007E-2</v>
      </c>
      <c r="I284" s="2">
        <f>Cleaned_Prepared_Data!H284</f>
        <v>17</v>
      </c>
      <c r="J284" s="2">
        <f>Cleaned_Prepared_Data!I284</f>
        <v>95.8</v>
      </c>
      <c r="K284" s="2">
        <f>Cleaned_Prepared_Data!K284</f>
        <v>0</v>
      </c>
      <c r="L284" s="2">
        <f>Cleaned_Prepared_Data!L284</f>
        <v>4</v>
      </c>
      <c r="M284" s="2">
        <f t="shared" si="12"/>
        <v>0</v>
      </c>
      <c r="N284" s="2">
        <f t="shared" si="13"/>
        <v>1</v>
      </c>
      <c r="O284" s="2">
        <f t="shared" si="14"/>
        <v>0</v>
      </c>
    </row>
    <row r="285" spans="1:15" x14ac:dyDescent="0.35">
      <c r="A285" s="2" t="str">
        <f>Cleaned_Prepared_Data!A285</f>
        <v>STR-1071</v>
      </c>
      <c r="B285" s="2" t="str">
        <f>Cleaned_Prepared_Data!P285</f>
        <v>2025-04</v>
      </c>
      <c r="C285" s="2" t="str">
        <f>Cleaned_Prepared_Data!C285</f>
        <v>South</v>
      </c>
      <c r="D285" s="2" t="str">
        <f>Cleaned_Prepared_Data!D285</f>
        <v>High Street</v>
      </c>
      <c r="E285" s="2">
        <f>Cleaned_Prepared_Data!M285</f>
        <v>497439.82</v>
      </c>
      <c r="F285" s="2">
        <f>Cleaned_Prepared_Data!E285</f>
        <v>18599.21</v>
      </c>
      <c r="G285" s="2">
        <f>Cleaned_Prepared_Data!F285</f>
        <v>3027</v>
      </c>
      <c r="H285" s="2">
        <f>Cleaned_Prepared_Data!G285</f>
        <v>0.122</v>
      </c>
      <c r="I285" s="2">
        <f>Cleaned_Prepared_Data!H285</f>
        <v>11</v>
      </c>
      <c r="J285" s="2">
        <f>Cleaned_Prepared_Data!I285</f>
        <v>80.900000000000006</v>
      </c>
      <c r="K285" s="2">
        <f>Cleaned_Prepared_Data!K285</f>
        <v>0</v>
      </c>
      <c r="L285" s="2">
        <f>Cleaned_Prepared_Data!L285</f>
        <v>4.2</v>
      </c>
      <c r="M285" s="2">
        <f t="shared" si="12"/>
        <v>0</v>
      </c>
      <c r="N285" s="2">
        <f t="shared" si="13"/>
        <v>1</v>
      </c>
      <c r="O285" s="2">
        <f t="shared" si="14"/>
        <v>0</v>
      </c>
    </row>
    <row r="286" spans="1:15" x14ac:dyDescent="0.35">
      <c r="A286" s="2" t="str">
        <f>Cleaned_Prepared_Data!A286</f>
        <v>STR-1072</v>
      </c>
      <c r="B286" s="2" t="str">
        <f>Cleaned_Prepared_Data!P286</f>
        <v>2025-01</v>
      </c>
      <c r="C286" s="2" t="str">
        <f>Cleaned_Prepared_Data!C286</f>
        <v>West</v>
      </c>
      <c r="D286" s="2" t="str">
        <f>Cleaned_Prepared_Data!D286</f>
        <v>Residential</v>
      </c>
      <c r="E286" s="2">
        <f>Cleaned_Prepared_Data!M286</f>
        <v>636775.66</v>
      </c>
      <c r="F286" s="2">
        <f>Cleaned_Prepared_Data!E286</f>
        <v>60183.06</v>
      </c>
      <c r="G286" s="2">
        <f>Cleaned_Prepared_Data!F286</f>
        <v>5562</v>
      </c>
      <c r="H286" s="2">
        <f>Cleaned_Prepared_Data!G286</f>
        <v>8.9999999999999993E-3</v>
      </c>
      <c r="I286" s="2">
        <f>Cleaned_Prepared_Data!H286</f>
        <v>13</v>
      </c>
      <c r="J286" s="2">
        <f>Cleaned_Prepared_Data!I286</f>
        <v>86.3</v>
      </c>
      <c r="K286" s="2">
        <f>Cleaned_Prepared_Data!K286</f>
        <v>1</v>
      </c>
      <c r="L286" s="2">
        <f>Cleaned_Prepared_Data!L286</f>
        <v>4.5</v>
      </c>
      <c r="M286" s="2">
        <f t="shared" si="12"/>
        <v>0</v>
      </c>
      <c r="N286" s="2">
        <f t="shared" si="13"/>
        <v>0</v>
      </c>
      <c r="O286" s="2">
        <f t="shared" si="14"/>
        <v>0</v>
      </c>
    </row>
    <row r="287" spans="1:15" x14ac:dyDescent="0.35">
      <c r="A287" s="2" t="str">
        <f>Cleaned_Prepared_Data!A287</f>
        <v>STR-1072</v>
      </c>
      <c r="B287" s="2" t="str">
        <f>Cleaned_Prepared_Data!P287</f>
        <v>2025-02</v>
      </c>
      <c r="C287" s="2" t="str">
        <f>Cleaned_Prepared_Data!C287</f>
        <v>West</v>
      </c>
      <c r="D287" s="2" t="str">
        <f>Cleaned_Prepared_Data!D287</f>
        <v>Residential</v>
      </c>
      <c r="E287" s="2">
        <f>Cleaned_Prepared_Data!M287</f>
        <v>633009.53</v>
      </c>
      <c r="F287" s="2">
        <f>Cleaned_Prepared_Data!E287</f>
        <v>74539.14</v>
      </c>
      <c r="G287" s="2">
        <f>Cleaned_Prepared_Data!F287</f>
        <v>4487</v>
      </c>
      <c r="H287" s="2">
        <f>Cleaned_Prepared_Data!G287</f>
        <v>0.14000000000000001</v>
      </c>
      <c r="I287" s="2">
        <f>Cleaned_Prepared_Data!H287</f>
        <v>10</v>
      </c>
      <c r="J287" s="2">
        <f>Cleaned_Prepared_Data!I287</f>
        <v>90.4</v>
      </c>
      <c r="K287" s="2">
        <f>Cleaned_Prepared_Data!K287</f>
        <v>0</v>
      </c>
      <c r="L287" s="2">
        <f>Cleaned_Prepared_Data!L287</f>
        <v>4.5</v>
      </c>
      <c r="M287" s="2">
        <f t="shared" si="12"/>
        <v>0</v>
      </c>
      <c r="N287" s="2">
        <f t="shared" si="13"/>
        <v>0</v>
      </c>
      <c r="O287" s="2">
        <f t="shared" si="14"/>
        <v>0</v>
      </c>
    </row>
    <row r="288" spans="1:15" x14ac:dyDescent="0.35">
      <c r="A288" s="2" t="str">
        <f>Cleaned_Prepared_Data!A288</f>
        <v>STR-1072</v>
      </c>
      <c r="B288" s="2" t="str">
        <f>Cleaned_Prepared_Data!P288</f>
        <v>2025-03</v>
      </c>
      <c r="C288" s="2" t="str">
        <f>Cleaned_Prepared_Data!C288</f>
        <v>West</v>
      </c>
      <c r="D288" s="2" t="str">
        <f>Cleaned_Prepared_Data!D288</f>
        <v>Residential</v>
      </c>
      <c r="E288" s="2">
        <f>Cleaned_Prepared_Data!M288</f>
        <v>609949</v>
      </c>
      <c r="F288" s="2">
        <f>Cleaned_Prepared_Data!E288</f>
        <v>55371.97</v>
      </c>
      <c r="G288" s="2">
        <f>Cleaned_Prepared_Data!F288</f>
        <v>4162</v>
      </c>
      <c r="H288" s="2">
        <f>Cleaned_Prepared_Data!G288</f>
        <v>0.183</v>
      </c>
      <c r="I288" s="2">
        <f>Cleaned_Prepared_Data!H288</f>
        <v>11</v>
      </c>
      <c r="J288" s="2">
        <f>Cleaned_Prepared_Data!I288</f>
        <v>92</v>
      </c>
      <c r="K288" s="2">
        <f>Cleaned_Prepared_Data!K288</f>
        <v>1</v>
      </c>
      <c r="L288" s="2">
        <f>Cleaned_Prepared_Data!L288</f>
        <v>4.2</v>
      </c>
      <c r="M288" s="2">
        <f t="shared" si="12"/>
        <v>0</v>
      </c>
      <c r="N288" s="2">
        <f t="shared" si="13"/>
        <v>0</v>
      </c>
      <c r="O288" s="2">
        <f t="shared" si="14"/>
        <v>0</v>
      </c>
    </row>
    <row r="289" spans="1:15" x14ac:dyDescent="0.35">
      <c r="A289" s="2" t="str">
        <f>Cleaned_Prepared_Data!A289</f>
        <v>STR-1072</v>
      </c>
      <c r="B289" s="2" t="str">
        <f>Cleaned_Prepared_Data!P289</f>
        <v>2025-04</v>
      </c>
      <c r="C289" s="2" t="str">
        <f>Cleaned_Prepared_Data!C289</f>
        <v>West</v>
      </c>
      <c r="D289" s="2" t="str">
        <f>Cleaned_Prepared_Data!D289</f>
        <v>Residential</v>
      </c>
      <c r="E289" s="2">
        <f>Cleaned_Prepared_Data!M289</f>
        <v>548103.69999999995</v>
      </c>
      <c r="F289" s="2">
        <f>Cleaned_Prepared_Data!E289</f>
        <v>40928.69</v>
      </c>
      <c r="G289" s="2">
        <f>Cleaned_Prepared_Data!F289</f>
        <v>4094</v>
      </c>
      <c r="H289" s="2">
        <f>Cleaned_Prepared_Data!G289</f>
        <v>0.17399999999999999</v>
      </c>
      <c r="I289" s="2">
        <f>Cleaned_Prepared_Data!H289</f>
        <v>13</v>
      </c>
      <c r="J289" s="2">
        <f>Cleaned_Prepared_Data!I289</f>
        <v>82.4</v>
      </c>
      <c r="K289" s="2">
        <f>Cleaned_Prepared_Data!K289</f>
        <v>0</v>
      </c>
      <c r="L289" s="2">
        <f>Cleaned_Prepared_Data!L289</f>
        <v>4.8</v>
      </c>
      <c r="M289" s="2">
        <f t="shared" si="12"/>
        <v>0</v>
      </c>
      <c r="N289" s="2">
        <f t="shared" si="13"/>
        <v>0</v>
      </c>
      <c r="O289" s="2">
        <f t="shared" si="14"/>
        <v>0</v>
      </c>
    </row>
    <row r="290" spans="1:15" x14ac:dyDescent="0.35">
      <c r="A290" s="2" t="str">
        <f>Cleaned_Prepared_Data!A290</f>
        <v>STR-1073</v>
      </c>
      <c r="B290" s="2" t="str">
        <f>Cleaned_Prepared_Data!P290</f>
        <v>2025-01</v>
      </c>
      <c r="C290" s="2" t="str">
        <f>Cleaned_Prepared_Data!C290</f>
        <v>East</v>
      </c>
      <c r="D290" s="2" t="str">
        <f>Cleaned_Prepared_Data!D290</f>
        <v>Residential</v>
      </c>
      <c r="E290" s="2">
        <f>Cleaned_Prepared_Data!M290</f>
        <v>729424.42</v>
      </c>
      <c r="F290" s="2">
        <f>Cleaned_Prepared_Data!E290</f>
        <v>70012.41</v>
      </c>
      <c r="G290" s="2">
        <f>Cleaned_Prepared_Data!F290</f>
        <v>8484</v>
      </c>
      <c r="H290" s="2">
        <f>Cleaned_Prepared_Data!G290</f>
        <v>0.27300000000000002</v>
      </c>
      <c r="I290" s="2">
        <f>Cleaned_Prepared_Data!H290</f>
        <v>23</v>
      </c>
      <c r="J290" s="2">
        <f>Cleaned_Prepared_Data!I290</f>
        <v>72.900000000000006</v>
      </c>
      <c r="K290" s="2">
        <f>Cleaned_Prepared_Data!K290</f>
        <v>0</v>
      </c>
      <c r="L290" s="2">
        <f>Cleaned_Prepared_Data!L290</f>
        <v>3.7</v>
      </c>
      <c r="M290" s="2">
        <f t="shared" si="12"/>
        <v>0</v>
      </c>
      <c r="N290" s="2">
        <f t="shared" si="13"/>
        <v>0</v>
      </c>
      <c r="O290" s="2">
        <f t="shared" si="14"/>
        <v>0</v>
      </c>
    </row>
    <row r="291" spans="1:15" x14ac:dyDescent="0.35">
      <c r="A291" s="2" t="str">
        <f>Cleaned_Prepared_Data!A291</f>
        <v>STR-1073</v>
      </c>
      <c r="B291" s="2" t="str">
        <f>Cleaned_Prepared_Data!P291</f>
        <v>2025-02</v>
      </c>
      <c r="C291" s="2" t="str">
        <f>Cleaned_Prepared_Data!C291</f>
        <v>East</v>
      </c>
      <c r="D291" s="2" t="str">
        <f>Cleaned_Prepared_Data!D291</f>
        <v>Residential</v>
      </c>
      <c r="E291" s="2">
        <f>Cleaned_Prepared_Data!M291</f>
        <v>696261.49</v>
      </c>
      <c r="F291" s="2">
        <f>Cleaned_Prepared_Data!E291</f>
        <v>68909.259999999995</v>
      </c>
      <c r="G291" s="2">
        <f>Cleaned_Prepared_Data!F291</f>
        <v>7794</v>
      </c>
      <c r="H291" s="2">
        <f>Cleaned_Prepared_Data!G291</f>
        <v>0.28399999999999997</v>
      </c>
      <c r="I291" s="2">
        <f>Cleaned_Prepared_Data!H291</f>
        <v>22</v>
      </c>
      <c r="J291" s="2">
        <f>Cleaned_Prepared_Data!I291</f>
        <v>89</v>
      </c>
      <c r="K291" s="2">
        <f>Cleaned_Prepared_Data!K291</f>
        <v>0</v>
      </c>
      <c r="L291" s="2">
        <f>Cleaned_Prepared_Data!L291</f>
        <v>4</v>
      </c>
      <c r="M291" s="2">
        <f t="shared" si="12"/>
        <v>0</v>
      </c>
      <c r="N291" s="2">
        <f t="shared" si="13"/>
        <v>0</v>
      </c>
      <c r="O291" s="2">
        <f t="shared" si="14"/>
        <v>0</v>
      </c>
    </row>
    <row r="292" spans="1:15" x14ac:dyDescent="0.35">
      <c r="A292" s="2" t="str">
        <f>Cleaned_Prepared_Data!A292</f>
        <v>STR-1073</v>
      </c>
      <c r="B292" s="2" t="str">
        <f>Cleaned_Prepared_Data!P292</f>
        <v>2025-03</v>
      </c>
      <c r="C292" s="2" t="str">
        <f>Cleaned_Prepared_Data!C292</f>
        <v>East</v>
      </c>
      <c r="D292" s="2" t="str">
        <f>Cleaned_Prepared_Data!D292</f>
        <v>Residential</v>
      </c>
      <c r="E292" s="2">
        <f>Cleaned_Prepared_Data!M292</f>
        <v>813316.71</v>
      </c>
      <c r="F292" s="2">
        <f>Cleaned_Prepared_Data!E292</f>
        <v>56737.3</v>
      </c>
      <c r="G292" s="2">
        <f>Cleaned_Prepared_Data!F292</f>
        <v>8300</v>
      </c>
      <c r="H292" s="2">
        <f>Cleaned_Prepared_Data!G292</f>
        <v>3.2000000000000001E-2</v>
      </c>
      <c r="I292" s="2">
        <f>Cleaned_Prepared_Data!H292</f>
        <v>21</v>
      </c>
      <c r="J292" s="2">
        <f>Cleaned_Prepared_Data!I292</f>
        <v>83.2</v>
      </c>
      <c r="K292" s="2">
        <f>Cleaned_Prepared_Data!K292</f>
        <v>1</v>
      </c>
      <c r="L292" s="2">
        <f>Cleaned_Prepared_Data!L292</f>
        <v>4.3</v>
      </c>
      <c r="M292" s="2">
        <f t="shared" si="12"/>
        <v>0</v>
      </c>
      <c r="N292" s="2">
        <f t="shared" si="13"/>
        <v>0</v>
      </c>
      <c r="O292" s="2">
        <f t="shared" si="14"/>
        <v>0</v>
      </c>
    </row>
    <row r="293" spans="1:15" x14ac:dyDescent="0.35">
      <c r="A293" s="2" t="str">
        <f>Cleaned_Prepared_Data!A293</f>
        <v>STR-1073</v>
      </c>
      <c r="B293" s="2" t="str">
        <f>Cleaned_Prepared_Data!P293</f>
        <v>2025-04</v>
      </c>
      <c r="C293" s="2" t="str">
        <f>Cleaned_Prepared_Data!C293</f>
        <v>East</v>
      </c>
      <c r="D293" s="2" t="str">
        <f>Cleaned_Prepared_Data!D293</f>
        <v>Residential</v>
      </c>
      <c r="E293" s="2">
        <f>Cleaned_Prepared_Data!M293</f>
        <v>702068.92</v>
      </c>
      <c r="F293" s="2">
        <f>Cleaned_Prepared_Data!E293</f>
        <v>54080.91</v>
      </c>
      <c r="G293" s="2">
        <f>Cleaned_Prepared_Data!F293</f>
        <v>7083</v>
      </c>
      <c r="H293" s="2">
        <f>Cleaned_Prepared_Data!G293</f>
        <v>0</v>
      </c>
      <c r="I293" s="2">
        <f>Cleaned_Prepared_Data!H293</f>
        <v>15</v>
      </c>
      <c r="J293" s="2">
        <f>Cleaned_Prepared_Data!I293</f>
        <v>97</v>
      </c>
      <c r="K293" s="2">
        <f>Cleaned_Prepared_Data!K293</f>
        <v>0</v>
      </c>
      <c r="L293" s="2">
        <f>Cleaned_Prepared_Data!L293</f>
        <v>4.0999999999999996</v>
      </c>
      <c r="M293" s="2">
        <f t="shared" si="12"/>
        <v>0</v>
      </c>
      <c r="N293" s="2">
        <f t="shared" si="13"/>
        <v>0</v>
      </c>
      <c r="O293" s="2">
        <f t="shared" si="14"/>
        <v>0</v>
      </c>
    </row>
    <row r="294" spans="1:15" x14ac:dyDescent="0.35">
      <c r="A294" s="2" t="str">
        <f>Cleaned_Prepared_Data!A294</f>
        <v>STR-1074</v>
      </c>
      <c r="B294" s="2" t="str">
        <f>Cleaned_Prepared_Data!P294</f>
        <v>2025-01</v>
      </c>
      <c r="C294" s="2" t="str">
        <f>Cleaned_Prepared_Data!C294</f>
        <v>West</v>
      </c>
      <c r="D294" s="2" t="str">
        <f>Cleaned_Prepared_Data!D294</f>
        <v>High Street</v>
      </c>
      <c r="E294" s="2">
        <f>Cleaned_Prepared_Data!M294</f>
        <v>546223.69999999995</v>
      </c>
      <c r="F294" s="2">
        <f>Cleaned_Prepared_Data!E294</f>
        <v>51996.32</v>
      </c>
      <c r="G294" s="2">
        <f>Cleaned_Prepared_Data!F294</f>
        <v>3834</v>
      </c>
      <c r="H294" s="2">
        <f>Cleaned_Prepared_Data!G294</f>
        <v>9.6000000000000002E-2</v>
      </c>
      <c r="I294" s="2">
        <f>Cleaned_Prepared_Data!H294</f>
        <v>8</v>
      </c>
      <c r="J294" s="2">
        <f>Cleaned_Prepared_Data!I294</f>
        <v>86.7</v>
      </c>
      <c r="K294" s="2">
        <f>Cleaned_Prepared_Data!K294</f>
        <v>0</v>
      </c>
      <c r="L294" s="2">
        <f>Cleaned_Prepared_Data!L294</f>
        <v>4.5</v>
      </c>
      <c r="M294" s="2">
        <f t="shared" si="12"/>
        <v>0</v>
      </c>
      <c r="N294" s="2">
        <f t="shared" si="13"/>
        <v>1</v>
      </c>
      <c r="O294" s="2">
        <f t="shared" si="14"/>
        <v>0</v>
      </c>
    </row>
    <row r="295" spans="1:15" x14ac:dyDescent="0.35">
      <c r="A295" s="2" t="str">
        <f>Cleaned_Prepared_Data!A295</f>
        <v>STR-1074</v>
      </c>
      <c r="B295" s="2" t="str">
        <f>Cleaned_Prepared_Data!P295</f>
        <v>2025-02</v>
      </c>
      <c r="C295" s="2" t="str">
        <f>Cleaned_Prepared_Data!C295</f>
        <v>West</v>
      </c>
      <c r="D295" s="2" t="str">
        <f>Cleaned_Prepared_Data!D295</f>
        <v>High Street</v>
      </c>
      <c r="E295" s="2">
        <f>Cleaned_Prepared_Data!M295</f>
        <v>533121.26</v>
      </c>
      <c r="F295" s="2">
        <f>Cleaned_Prepared_Data!E295</f>
        <v>40102.879999999997</v>
      </c>
      <c r="G295" s="2">
        <f>Cleaned_Prepared_Data!F295</f>
        <v>2358</v>
      </c>
      <c r="H295" s="2">
        <f>Cleaned_Prepared_Data!G295</f>
        <v>0.11899999999999999</v>
      </c>
      <c r="I295" s="2">
        <f>Cleaned_Prepared_Data!H295</f>
        <v>9</v>
      </c>
      <c r="J295" s="2">
        <f>Cleaned_Prepared_Data!I295</f>
        <v>88.7</v>
      </c>
      <c r="K295" s="2">
        <f>Cleaned_Prepared_Data!K295</f>
        <v>0</v>
      </c>
      <c r="L295" s="2">
        <f>Cleaned_Prepared_Data!L295</f>
        <v>4.2</v>
      </c>
      <c r="M295" s="2">
        <f t="shared" si="12"/>
        <v>0</v>
      </c>
      <c r="N295" s="2">
        <f t="shared" si="13"/>
        <v>1</v>
      </c>
      <c r="O295" s="2">
        <f t="shared" si="14"/>
        <v>0</v>
      </c>
    </row>
    <row r="296" spans="1:15" x14ac:dyDescent="0.35">
      <c r="A296" s="2" t="str">
        <f>Cleaned_Prepared_Data!A296</f>
        <v>STR-1074</v>
      </c>
      <c r="B296" s="2" t="str">
        <f>Cleaned_Prepared_Data!P296</f>
        <v>2025-03</v>
      </c>
      <c r="C296" s="2" t="str">
        <f>Cleaned_Prepared_Data!C296</f>
        <v>West</v>
      </c>
      <c r="D296" s="2" t="str">
        <f>Cleaned_Prepared_Data!D296</f>
        <v>High Street</v>
      </c>
      <c r="E296" s="2">
        <f>Cleaned_Prepared_Data!M296</f>
        <v>498970.32</v>
      </c>
      <c r="F296" s="2">
        <f>Cleaned_Prepared_Data!E296</f>
        <v>59825.51</v>
      </c>
      <c r="G296" s="2">
        <f>Cleaned_Prepared_Data!F296</f>
        <v>1231</v>
      </c>
      <c r="H296" s="2">
        <f>Cleaned_Prepared_Data!G296</f>
        <v>0.214</v>
      </c>
      <c r="I296" s="2">
        <f>Cleaned_Prepared_Data!H296</f>
        <v>10</v>
      </c>
      <c r="J296" s="2">
        <f>Cleaned_Prepared_Data!I296</f>
        <v>84.8</v>
      </c>
      <c r="K296" s="2">
        <f>Cleaned_Prepared_Data!K296</f>
        <v>0</v>
      </c>
      <c r="L296" s="2">
        <f>Cleaned_Prepared_Data!L296</f>
        <v>4.7</v>
      </c>
      <c r="M296" s="2">
        <f t="shared" si="12"/>
        <v>0</v>
      </c>
      <c r="N296" s="2">
        <f t="shared" si="13"/>
        <v>1</v>
      </c>
      <c r="O296" s="2">
        <f t="shared" si="14"/>
        <v>0</v>
      </c>
    </row>
    <row r="297" spans="1:15" x14ac:dyDescent="0.35">
      <c r="A297" s="2" t="str">
        <f>Cleaned_Prepared_Data!A297</f>
        <v>STR-1074</v>
      </c>
      <c r="B297" s="2" t="str">
        <f>Cleaned_Prepared_Data!P297</f>
        <v>2025-04</v>
      </c>
      <c r="C297" s="2" t="str">
        <f>Cleaned_Prepared_Data!C297</f>
        <v>West</v>
      </c>
      <c r="D297" s="2" t="str">
        <f>Cleaned_Prepared_Data!D297</f>
        <v>High Street</v>
      </c>
      <c r="E297" s="2">
        <f>Cleaned_Prepared_Data!M297</f>
        <v>487738.26</v>
      </c>
      <c r="F297" s="2">
        <f>Cleaned_Prepared_Data!E297</f>
        <v>27398.28</v>
      </c>
      <c r="G297" s="2">
        <f>Cleaned_Prepared_Data!F297</f>
        <v>1723</v>
      </c>
      <c r="H297" s="2">
        <f>Cleaned_Prepared_Data!G297</f>
        <v>0.17100000000000001</v>
      </c>
      <c r="I297" s="2">
        <f>Cleaned_Prepared_Data!H297</f>
        <v>9</v>
      </c>
      <c r="J297" s="2">
        <f>Cleaned_Prepared_Data!I297</f>
        <v>81</v>
      </c>
      <c r="K297" s="2">
        <f>Cleaned_Prepared_Data!K297</f>
        <v>0</v>
      </c>
      <c r="L297" s="2">
        <f>Cleaned_Prepared_Data!L297</f>
        <v>4.5999999999999996</v>
      </c>
      <c r="M297" s="2">
        <f t="shared" si="12"/>
        <v>0</v>
      </c>
      <c r="N297" s="2">
        <f t="shared" si="13"/>
        <v>1</v>
      </c>
      <c r="O297" s="2">
        <f t="shared" si="14"/>
        <v>0</v>
      </c>
    </row>
    <row r="298" spans="1:15" x14ac:dyDescent="0.35">
      <c r="A298" s="2" t="str">
        <f>Cleaned_Prepared_Data!A298</f>
        <v>STR-1075</v>
      </c>
      <c r="B298" s="2" t="str">
        <f>Cleaned_Prepared_Data!P298</f>
        <v>2025-01</v>
      </c>
      <c r="C298" s="2" t="str">
        <f>Cleaned_Prepared_Data!C298</f>
        <v>West</v>
      </c>
      <c r="D298" s="2" t="str">
        <f>Cleaned_Prepared_Data!D298</f>
        <v>High Street</v>
      </c>
      <c r="E298" s="2">
        <f>Cleaned_Prepared_Data!M298</f>
        <v>668459.37</v>
      </c>
      <c r="F298" s="2">
        <f>Cleaned_Prepared_Data!E298</f>
        <v>55599.56</v>
      </c>
      <c r="G298" s="2">
        <f>Cleaned_Prepared_Data!F298</f>
        <v>5896</v>
      </c>
      <c r="H298" s="2">
        <f>Cleaned_Prepared_Data!G298</f>
        <v>3.5999999999999997E-2</v>
      </c>
      <c r="I298" s="2">
        <f>Cleaned_Prepared_Data!H298</f>
        <v>12</v>
      </c>
      <c r="J298" s="2">
        <f>Cleaned_Prepared_Data!I298</f>
        <v>93.1</v>
      </c>
      <c r="K298" s="2">
        <f>Cleaned_Prepared_Data!K298</f>
        <v>0</v>
      </c>
      <c r="L298" s="2">
        <f>Cleaned_Prepared_Data!L298</f>
        <v>3.3</v>
      </c>
      <c r="M298" s="2">
        <f t="shared" si="12"/>
        <v>0</v>
      </c>
      <c r="N298" s="2">
        <f t="shared" si="13"/>
        <v>1</v>
      </c>
      <c r="O298" s="2">
        <f t="shared" si="14"/>
        <v>0</v>
      </c>
    </row>
    <row r="299" spans="1:15" x14ac:dyDescent="0.35">
      <c r="A299" s="2" t="str">
        <f>Cleaned_Prepared_Data!A299</f>
        <v>STR-1075</v>
      </c>
      <c r="B299" s="2" t="str">
        <f>Cleaned_Prepared_Data!P299</f>
        <v>2025-02</v>
      </c>
      <c r="C299" s="2" t="str">
        <f>Cleaned_Prepared_Data!C299</f>
        <v>West</v>
      </c>
      <c r="D299" s="2" t="str">
        <f>Cleaned_Prepared_Data!D299</f>
        <v>High Street</v>
      </c>
      <c r="E299" s="2">
        <f>Cleaned_Prepared_Data!M299</f>
        <v>763162.45</v>
      </c>
      <c r="F299" s="2">
        <f>Cleaned_Prepared_Data!E299</f>
        <v>55477.61</v>
      </c>
      <c r="G299" s="2">
        <f>Cleaned_Prepared_Data!F299</f>
        <v>5903</v>
      </c>
      <c r="H299" s="2">
        <f>Cleaned_Prepared_Data!G299</f>
        <v>0.10199999999999999</v>
      </c>
      <c r="I299" s="2">
        <f>Cleaned_Prepared_Data!H299</f>
        <v>14</v>
      </c>
      <c r="J299" s="2">
        <f>Cleaned_Prepared_Data!I299</f>
        <v>96.2</v>
      </c>
      <c r="K299" s="2">
        <f>Cleaned_Prepared_Data!K299</f>
        <v>0</v>
      </c>
      <c r="L299" s="2">
        <f>Cleaned_Prepared_Data!L299</f>
        <v>3.3</v>
      </c>
      <c r="M299" s="2">
        <f t="shared" si="12"/>
        <v>0</v>
      </c>
      <c r="N299" s="2">
        <f t="shared" si="13"/>
        <v>1</v>
      </c>
      <c r="O299" s="2">
        <f t="shared" si="14"/>
        <v>0</v>
      </c>
    </row>
    <row r="300" spans="1:15" x14ac:dyDescent="0.35">
      <c r="A300" s="2" t="str">
        <f>Cleaned_Prepared_Data!A300</f>
        <v>STR-1075</v>
      </c>
      <c r="B300" s="2" t="str">
        <f>Cleaned_Prepared_Data!P300</f>
        <v>2025-03</v>
      </c>
      <c r="C300" s="2" t="str">
        <f>Cleaned_Prepared_Data!C300</f>
        <v>West</v>
      </c>
      <c r="D300" s="2" t="str">
        <f>Cleaned_Prepared_Data!D300</f>
        <v>High Street</v>
      </c>
      <c r="E300" s="2">
        <f>Cleaned_Prepared_Data!M300</f>
        <v>599017.32999999996</v>
      </c>
      <c r="F300" s="2">
        <f>Cleaned_Prepared_Data!E300</f>
        <v>46174.7</v>
      </c>
      <c r="G300" s="2">
        <f>Cleaned_Prepared_Data!F300</f>
        <v>4898</v>
      </c>
      <c r="H300" s="2">
        <f>Cleaned_Prepared_Data!G300</f>
        <v>0.114</v>
      </c>
      <c r="I300" s="2">
        <f>Cleaned_Prepared_Data!H300</f>
        <v>11</v>
      </c>
      <c r="J300" s="2">
        <f>Cleaned_Prepared_Data!I300</f>
        <v>91.7</v>
      </c>
      <c r="K300" s="2">
        <f>Cleaned_Prepared_Data!K300</f>
        <v>0</v>
      </c>
      <c r="L300" s="2">
        <f>Cleaned_Prepared_Data!L300</f>
        <v>3.1</v>
      </c>
      <c r="M300" s="2">
        <f t="shared" si="12"/>
        <v>0</v>
      </c>
      <c r="N300" s="2">
        <f t="shared" si="13"/>
        <v>1</v>
      </c>
      <c r="O300" s="2">
        <f t="shared" si="14"/>
        <v>0</v>
      </c>
    </row>
    <row r="301" spans="1:15" x14ac:dyDescent="0.35">
      <c r="A301" s="2" t="str">
        <f>Cleaned_Prepared_Data!A301</f>
        <v>STR-1075</v>
      </c>
      <c r="B301" s="2" t="str">
        <f>Cleaned_Prepared_Data!P301</f>
        <v>2025-04</v>
      </c>
      <c r="C301" s="2" t="str">
        <f>Cleaned_Prepared_Data!C301</f>
        <v>West</v>
      </c>
      <c r="D301" s="2" t="str">
        <f>Cleaned_Prepared_Data!D301</f>
        <v>High Street</v>
      </c>
      <c r="E301" s="2">
        <f>Cleaned_Prepared_Data!M301</f>
        <v>401582.58</v>
      </c>
      <c r="F301" s="2">
        <f>Cleaned_Prepared_Data!E301</f>
        <v>24362.98</v>
      </c>
      <c r="G301" s="2">
        <f>Cleaned_Prepared_Data!F301</f>
        <v>1462</v>
      </c>
      <c r="H301" s="2">
        <f>Cleaned_Prepared_Data!G301</f>
        <v>0.11700000000000001</v>
      </c>
      <c r="I301" s="2">
        <f>Cleaned_Prepared_Data!H301</f>
        <v>6</v>
      </c>
      <c r="J301" s="2">
        <f>Cleaned_Prepared_Data!I301</f>
        <v>89.3</v>
      </c>
      <c r="K301" s="2">
        <f>Cleaned_Prepared_Data!K301</f>
        <v>0</v>
      </c>
      <c r="L301" s="2">
        <f>Cleaned_Prepared_Data!L301</f>
        <v>3.2</v>
      </c>
      <c r="M301" s="2">
        <f t="shared" si="12"/>
        <v>0</v>
      </c>
      <c r="N301" s="2">
        <f t="shared" si="13"/>
        <v>1</v>
      </c>
      <c r="O301" s="2">
        <f t="shared" si="14"/>
        <v>0</v>
      </c>
    </row>
    <row r="302" spans="1:15" x14ac:dyDescent="0.35">
      <c r="A302" s="2" t="str">
        <f>Cleaned_Prepared_Data!A302</f>
        <v>STR-1076</v>
      </c>
      <c r="B302" s="2" t="str">
        <f>Cleaned_Prepared_Data!P302</f>
        <v>2025-01</v>
      </c>
      <c r="C302" s="2" t="str">
        <f>Cleaned_Prepared_Data!C302</f>
        <v>North</v>
      </c>
      <c r="D302" s="2" t="str">
        <f>Cleaned_Prepared_Data!D302</f>
        <v>Mall</v>
      </c>
      <c r="E302" s="2">
        <f>Cleaned_Prepared_Data!M302</f>
        <v>703812.99</v>
      </c>
      <c r="F302" s="2">
        <f>Cleaned_Prepared_Data!E302</f>
        <v>40647.67</v>
      </c>
      <c r="G302" s="2">
        <f>Cleaned_Prepared_Data!F302</f>
        <v>8252</v>
      </c>
      <c r="H302" s="2">
        <f>Cleaned_Prepared_Data!G302</f>
        <v>0.14099999999999999</v>
      </c>
      <c r="I302" s="2">
        <f>Cleaned_Prepared_Data!H302</f>
        <v>22</v>
      </c>
      <c r="J302" s="2">
        <f>Cleaned_Prepared_Data!I302</f>
        <v>88.2</v>
      </c>
      <c r="K302" s="2">
        <f>Cleaned_Prepared_Data!K302</f>
        <v>1</v>
      </c>
      <c r="L302" s="2">
        <f>Cleaned_Prepared_Data!L302</f>
        <v>4.0999999999999996</v>
      </c>
      <c r="M302" s="2">
        <f t="shared" si="12"/>
        <v>0</v>
      </c>
      <c r="N302" s="2">
        <f t="shared" si="13"/>
        <v>0</v>
      </c>
      <c r="O302" s="2">
        <f t="shared" si="14"/>
        <v>1</v>
      </c>
    </row>
    <row r="303" spans="1:15" x14ac:dyDescent="0.35">
      <c r="A303" s="2" t="str">
        <f>Cleaned_Prepared_Data!A303</f>
        <v>STR-1076</v>
      </c>
      <c r="B303" s="2" t="str">
        <f>Cleaned_Prepared_Data!P303</f>
        <v>2025-02</v>
      </c>
      <c r="C303" s="2" t="str">
        <f>Cleaned_Prepared_Data!C303</f>
        <v>North</v>
      </c>
      <c r="D303" s="2" t="str">
        <f>Cleaned_Prepared_Data!D303</f>
        <v>Mall</v>
      </c>
      <c r="E303" s="2">
        <f>Cleaned_Prepared_Data!M303</f>
        <v>724346.73</v>
      </c>
      <c r="F303" s="2">
        <f>Cleaned_Prepared_Data!E303</f>
        <v>63986.98</v>
      </c>
      <c r="G303" s="2">
        <f>Cleaned_Prepared_Data!F303</f>
        <v>7989</v>
      </c>
      <c r="H303" s="2">
        <f>Cleaned_Prepared_Data!G303</f>
        <v>7.3999999999999996E-2</v>
      </c>
      <c r="I303" s="2">
        <f>Cleaned_Prepared_Data!H303</f>
        <v>20</v>
      </c>
      <c r="J303" s="2">
        <f>Cleaned_Prepared_Data!I303</f>
        <v>83.3</v>
      </c>
      <c r="K303" s="2">
        <f>Cleaned_Prepared_Data!K303</f>
        <v>0</v>
      </c>
      <c r="L303" s="2">
        <f>Cleaned_Prepared_Data!L303</f>
        <v>3.7</v>
      </c>
      <c r="M303" s="2">
        <f t="shared" si="12"/>
        <v>0</v>
      </c>
      <c r="N303" s="2">
        <f t="shared" si="13"/>
        <v>0</v>
      </c>
      <c r="O303" s="2">
        <f t="shared" si="14"/>
        <v>1</v>
      </c>
    </row>
    <row r="304" spans="1:15" x14ac:dyDescent="0.35">
      <c r="A304" s="2" t="str">
        <f>Cleaned_Prepared_Data!A304</f>
        <v>STR-1076</v>
      </c>
      <c r="B304" s="2" t="str">
        <f>Cleaned_Prepared_Data!P304</f>
        <v>2025-03</v>
      </c>
      <c r="C304" s="2" t="str">
        <f>Cleaned_Prepared_Data!C304</f>
        <v>North</v>
      </c>
      <c r="D304" s="2" t="str">
        <f>Cleaned_Prepared_Data!D304</f>
        <v>Mall</v>
      </c>
      <c r="E304" s="2">
        <f>Cleaned_Prepared_Data!M304</f>
        <v>730890.01</v>
      </c>
      <c r="F304" s="2">
        <f>Cleaned_Prepared_Data!E304</f>
        <v>52843.75</v>
      </c>
      <c r="G304" s="2">
        <f>Cleaned_Prepared_Data!F304</f>
        <v>8268</v>
      </c>
      <c r="H304" s="2">
        <f>Cleaned_Prepared_Data!G304</f>
        <v>0.13800000000000001</v>
      </c>
      <c r="I304" s="2">
        <f>Cleaned_Prepared_Data!H304</f>
        <v>19</v>
      </c>
      <c r="J304" s="2">
        <f>Cleaned_Prepared_Data!I304</f>
        <v>87.3</v>
      </c>
      <c r="K304" s="2">
        <f>Cleaned_Prepared_Data!K304</f>
        <v>1</v>
      </c>
      <c r="L304" s="2">
        <f>Cleaned_Prepared_Data!L304</f>
        <v>4.7</v>
      </c>
      <c r="M304" s="2">
        <f t="shared" si="12"/>
        <v>0</v>
      </c>
      <c r="N304" s="2">
        <f t="shared" si="13"/>
        <v>0</v>
      </c>
      <c r="O304" s="2">
        <f t="shared" si="14"/>
        <v>1</v>
      </c>
    </row>
    <row r="305" spans="1:15" x14ac:dyDescent="0.35">
      <c r="A305" s="2" t="str">
        <f>Cleaned_Prepared_Data!A305</f>
        <v>STR-1076</v>
      </c>
      <c r="B305" s="2" t="str">
        <f>Cleaned_Prepared_Data!P305</f>
        <v>2025-04</v>
      </c>
      <c r="C305" s="2" t="str">
        <f>Cleaned_Prepared_Data!C305</f>
        <v>North</v>
      </c>
      <c r="D305" s="2" t="str">
        <f>Cleaned_Prepared_Data!D305</f>
        <v>Mall</v>
      </c>
      <c r="E305" s="2">
        <f>Cleaned_Prepared_Data!M305</f>
        <v>780580.95</v>
      </c>
      <c r="F305" s="2">
        <f>Cleaned_Prepared_Data!E305</f>
        <v>31997.25</v>
      </c>
      <c r="G305" s="2">
        <f>Cleaned_Prepared_Data!F305</f>
        <v>8183</v>
      </c>
      <c r="H305" s="2">
        <f>Cleaned_Prepared_Data!G305</f>
        <v>0.19800000000000001</v>
      </c>
      <c r="I305" s="2">
        <f>Cleaned_Prepared_Data!H305</f>
        <v>18</v>
      </c>
      <c r="J305" s="2">
        <f>Cleaned_Prepared_Data!I305</f>
        <v>93</v>
      </c>
      <c r="K305" s="2">
        <f>Cleaned_Prepared_Data!K305</f>
        <v>0</v>
      </c>
      <c r="L305" s="2">
        <f>Cleaned_Prepared_Data!L305</f>
        <v>4.2</v>
      </c>
      <c r="M305" s="2">
        <f t="shared" si="12"/>
        <v>0</v>
      </c>
      <c r="N305" s="2">
        <f t="shared" si="13"/>
        <v>0</v>
      </c>
      <c r="O305" s="2">
        <f t="shared" si="14"/>
        <v>1</v>
      </c>
    </row>
    <row r="306" spans="1:15" x14ac:dyDescent="0.35">
      <c r="A306" s="2" t="str">
        <f>Cleaned_Prepared_Data!A306</f>
        <v>STR-1077</v>
      </c>
      <c r="B306" s="2" t="str">
        <f>Cleaned_Prepared_Data!P306</f>
        <v>2025-01</v>
      </c>
      <c r="C306" s="2" t="str">
        <f>Cleaned_Prepared_Data!C306</f>
        <v>South</v>
      </c>
      <c r="D306" s="2" t="str">
        <f>Cleaned_Prepared_Data!D306</f>
        <v>Residential</v>
      </c>
      <c r="E306" s="2">
        <f>Cleaned_Prepared_Data!M306</f>
        <v>727957.48</v>
      </c>
      <c r="F306" s="2">
        <f>Cleaned_Prepared_Data!E306</f>
        <v>54948.02</v>
      </c>
      <c r="G306" s="2">
        <f>Cleaned_Prepared_Data!F306</f>
        <v>6534</v>
      </c>
      <c r="H306" s="2">
        <f>Cleaned_Prepared_Data!G306</f>
        <v>0.183</v>
      </c>
      <c r="I306" s="2">
        <f>Cleaned_Prepared_Data!H306</f>
        <v>14</v>
      </c>
      <c r="J306" s="2">
        <f>Cleaned_Prepared_Data!I306</f>
        <v>94.5</v>
      </c>
      <c r="K306" s="2">
        <f>Cleaned_Prepared_Data!K306</f>
        <v>0</v>
      </c>
      <c r="L306" s="2">
        <f>Cleaned_Prepared_Data!L306</f>
        <v>4</v>
      </c>
      <c r="M306" s="2">
        <f t="shared" si="12"/>
        <v>0</v>
      </c>
      <c r="N306" s="2">
        <f t="shared" si="13"/>
        <v>0</v>
      </c>
      <c r="O306" s="2">
        <f t="shared" si="14"/>
        <v>0</v>
      </c>
    </row>
    <row r="307" spans="1:15" x14ac:dyDescent="0.35">
      <c r="A307" s="2" t="str">
        <f>Cleaned_Prepared_Data!A307</f>
        <v>STR-1077</v>
      </c>
      <c r="B307" s="2" t="str">
        <f>Cleaned_Prepared_Data!P307</f>
        <v>2025-02</v>
      </c>
      <c r="C307" s="2" t="str">
        <f>Cleaned_Prepared_Data!C307</f>
        <v>South</v>
      </c>
      <c r="D307" s="2" t="str">
        <f>Cleaned_Prepared_Data!D307</f>
        <v>Residential</v>
      </c>
      <c r="E307" s="2">
        <f>Cleaned_Prepared_Data!M307</f>
        <v>538376</v>
      </c>
      <c r="F307" s="2">
        <f>Cleaned_Prepared_Data!E307</f>
        <v>46146.239999999998</v>
      </c>
      <c r="G307" s="2">
        <f>Cleaned_Prepared_Data!F307</f>
        <v>5804</v>
      </c>
      <c r="H307" s="2">
        <f>Cleaned_Prepared_Data!G307</f>
        <v>4.7E-2</v>
      </c>
      <c r="I307" s="2">
        <f>Cleaned_Prepared_Data!H307</f>
        <v>16</v>
      </c>
      <c r="J307" s="2">
        <f>Cleaned_Prepared_Data!I307</f>
        <v>86.9</v>
      </c>
      <c r="K307" s="2">
        <f>Cleaned_Prepared_Data!K307</f>
        <v>0</v>
      </c>
      <c r="L307" s="2">
        <f>Cleaned_Prepared_Data!L307</f>
        <v>3.8</v>
      </c>
      <c r="M307" s="2">
        <f t="shared" si="12"/>
        <v>0</v>
      </c>
      <c r="N307" s="2">
        <f t="shared" si="13"/>
        <v>0</v>
      </c>
      <c r="O307" s="2">
        <f t="shared" si="14"/>
        <v>0</v>
      </c>
    </row>
    <row r="308" spans="1:15" x14ac:dyDescent="0.35">
      <c r="A308" s="2" t="str">
        <f>Cleaned_Prepared_Data!A308</f>
        <v>STR-1077</v>
      </c>
      <c r="B308" s="2" t="str">
        <f>Cleaned_Prepared_Data!P308</f>
        <v>2025-03</v>
      </c>
      <c r="C308" s="2" t="str">
        <f>Cleaned_Prepared_Data!C308</f>
        <v>South</v>
      </c>
      <c r="D308" s="2" t="str">
        <f>Cleaned_Prepared_Data!D308</f>
        <v>Residential</v>
      </c>
      <c r="E308" s="2">
        <f>Cleaned_Prepared_Data!M308</f>
        <v>665342.49</v>
      </c>
      <c r="F308" s="2">
        <f>Cleaned_Prepared_Data!E308</f>
        <v>22387.26</v>
      </c>
      <c r="G308" s="2">
        <f>Cleaned_Prepared_Data!F308</f>
        <v>6301</v>
      </c>
      <c r="H308" s="2">
        <f>Cleaned_Prepared_Data!G308</f>
        <v>0.14599999999999999</v>
      </c>
      <c r="I308" s="2">
        <f>Cleaned_Prepared_Data!H308</f>
        <v>14</v>
      </c>
      <c r="J308" s="2">
        <f>Cleaned_Prepared_Data!I308</f>
        <v>85.9</v>
      </c>
      <c r="K308" s="2">
        <f>Cleaned_Prepared_Data!K308</f>
        <v>1</v>
      </c>
      <c r="L308" s="2">
        <f>Cleaned_Prepared_Data!L308</f>
        <v>3.7</v>
      </c>
      <c r="M308" s="2">
        <f t="shared" si="12"/>
        <v>0</v>
      </c>
      <c r="N308" s="2">
        <f t="shared" si="13"/>
        <v>0</v>
      </c>
      <c r="O308" s="2">
        <f t="shared" si="14"/>
        <v>0</v>
      </c>
    </row>
    <row r="309" spans="1:15" x14ac:dyDescent="0.35">
      <c r="A309" s="2" t="str">
        <f>Cleaned_Prepared_Data!A309</f>
        <v>STR-1077</v>
      </c>
      <c r="B309" s="2" t="str">
        <f>Cleaned_Prepared_Data!P309</f>
        <v>2025-04</v>
      </c>
      <c r="C309" s="2" t="str">
        <f>Cleaned_Prepared_Data!C309</f>
        <v>South</v>
      </c>
      <c r="D309" s="2" t="str">
        <f>Cleaned_Prepared_Data!D309</f>
        <v>Residential</v>
      </c>
      <c r="E309" s="2">
        <f>Cleaned_Prepared_Data!M309</f>
        <v>651164.18000000005</v>
      </c>
      <c r="F309" s="2">
        <f>Cleaned_Prepared_Data!E309</f>
        <v>60684.05</v>
      </c>
      <c r="G309" s="2">
        <f>Cleaned_Prepared_Data!F309</f>
        <v>6399</v>
      </c>
      <c r="H309" s="2">
        <f>Cleaned_Prepared_Data!G309</f>
        <v>7.4999999999999997E-2</v>
      </c>
      <c r="I309" s="2">
        <f>Cleaned_Prepared_Data!H309</f>
        <v>16</v>
      </c>
      <c r="J309" s="2">
        <f>Cleaned_Prepared_Data!I309</f>
        <v>99</v>
      </c>
      <c r="K309" s="2">
        <f>Cleaned_Prepared_Data!K309</f>
        <v>0</v>
      </c>
      <c r="L309" s="2">
        <f>Cleaned_Prepared_Data!L309</f>
        <v>3.5</v>
      </c>
      <c r="M309" s="2">
        <f t="shared" si="12"/>
        <v>0</v>
      </c>
      <c r="N309" s="2">
        <f t="shared" si="13"/>
        <v>0</v>
      </c>
      <c r="O309" s="2">
        <f t="shared" si="14"/>
        <v>0</v>
      </c>
    </row>
    <row r="310" spans="1:15" x14ac:dyDescent="0.35">
      <c r="A310" s="2" t="str">
        <f>Cleaned_Prepared_Data!A310</f>
        <v>STR-1078</v>
      </c>
      <c r="B310" s="2" t="str">
        <f>Cleaned_Prepared_Data!P310</f>
        <v>2025-01</v>
      </c>
      <c r="C310" s="2" t="str">
        <f>Cleaned_Prepared_Data!C310</f>
        <v>South</v>
      </c>
      <c r="D310" s="2" t="str">
        <f>Cleaned_Prepared_Data!D310</f>
        <v>High Street</v>
      </c>
      <c r="E310" s="2">
        <f>Cleaned_Prepared_Data!M310</f>
        <v>628538.30000000005</v>
      </c>
      <c r="F310" s="2">
        <f>Cleaned_Prepared_Data!E310</f>
        <v>48465.599999999999</v>
      </c>
      <c r="G310" s="2">
        <f>Cleaned_Prepared_Data!F310</f>
        <v>5759</v>
      </c>
      <c r="H310" s="2">
        <f>Cleaned_Prepared_Data!G310</f>
        <v>0.154</v>
      </c>
      <c r="I310" s="2">
        <f>Cleaned_Prepared_Data!H310</f>
        <v>13</v>
      </c>
      <c r="J310" s="2">
        <f>Cleaned_Prepared_Data!I310</f>
        <v>87.5</v>
      </c>
      <c r="K310" s="2">
        <f>Cleaned_Prepared_Data!K310</f>
        <v>0</v>
      </c>
      <c r="L310" s="2">
        <f>Cleaned_Prepared_Data!L310</f>
        <v>4</v>
      </c>
      <c r="M310" s="2">
        <f t="shared" si="12"/>
        <v>0</v>
      </c>
      <c r="N310" s="2">
        <f t="shared" si="13"/>
        <v>1</v>
      </c>
      <c r="O310" s="2">
        <f t="shared" si="14"/>
        <v>0</v>
      </c>
    </row>
    <row r="311" spans="1:15" x14ac:dyDescent="0.35">
      <c r="A311" s="2" t="str">
        <f>Cleaned_Prepared_Data!A311</f>
        <v>STR-1078</v>
      </c>
      <c r="B311" s="2" t="str">
        <f>Cleaned_Prepared_Data!P311</f>
        <v>2025-02</v>
      </c>
      <c r="C311" s="2" t="str">
        <f>Cleaned_Prepared_Data!C311</f>
        <v>South</v>
      </c>
      <c r="D311" s="2" t="str">
        <f>Cleaned_Prepared_Data!D311</f>
        <v>High Street</v>
      </c>
      <c r="E311" s="2">
        <f>Cleaned_Prepared_Data!M311</f>
        <v>536524.84</v>
      </c>
      <c r="F311" s="2">
        <f>Cleaned_Prepared_Data!E311</f>
        <v>23702.38</v>
      </c>
      <c r="G311" s="2">
        <f>Cleaned_Prepared_Data!F311</f>
        <v>5285</v>
      </c>
      <c r="H311" s="2">
        <f>Cleaned_Prepared_Data!G311</f>
        <v>0.16700000000000001</v>
      </c>
      <c r="I311" s="2">
        <f>Cleaned_Prepared_Data!H311</f>
        <v>14</v>
      </c>
      <c r="J311" s="2">
        <f>Cleaned_Prepared_Data!I311</f>
        <v>79.7</v>
      </c>
      <c r="K311" s="2">
        <f>Cleaned_Prepared_Data!K311</f>
        <v>0</v>
      </c>
      <c r="L311" s="2">
        <f>Cleaned_Prepared_Data!L311</f>
        <v>4.3</v>
      </c>
      <c r="M311" s="2">
        <f t="shared" si="12"/>
        <v>0</v>
      </c>
      <c r="N311" s="2">
        <f t="shared" si="13"/>
        <v>1</v>
      </c>
      <c r="O311" s="2">
        <f t="shared" si="14"/>
        <v>0</v>
      </c>
    </row>
    <row r="312" spans="1:15" x14ac:dyDescent="0.35">
      <c r="A312" s="2" t="str">
        <f>Cleaned_Prepared_Data!A312</f>
        <v>STR-1078</v>
      </c>
      <c r="B312" s="2" t="str">
        <f>Cleaned_Prepared_Data!P312</f>
        <v>2025-03</v>
      </c>
      <c r="C312" s="2" t="str">
        <f>Cleaned_Prepared_Data!C312</f>
        <v>South</v>
      </c>
      <c r="D312" s="2" t="str">
        <f>Cleaned_Prepared_Data!D312</f>
        <v>High Street</v>
      </c>
      <c r="E312" s="2">
        <f>Cleaned_Prepared_Data!M312</f>
        <v>621677.30000000005</v>
      </c>
      <c r="F312" s="2">
        <f>Cleaned_Prepared_Data!E312</f>
        <v>54322.94</v>
      </c>
      <c r="G312" s="2">
        <f>Cleaned_Prepared_Data!F312</f>
        <v>5434</v>
      </c>
      <c r="H312" s="2">
        <f>Cleaned_Prepared_Data!G312</f>
        <v>0.2</v>
      </c>
      <c r="I312" s="2">
        <f>Cleaned_Prepared_Data!H312</f>
        <v>13</v>
      </c>
      <c r="J312" s="2">
        <f>Cleaned_Prepared_Data!I312</f>
        <v>85.7</v>
      </c>
      <c r="K312" s="2">
        <f>Cleaned_Prepared_Data!K312</f>
        <v>0</v>
      </c>
      <c r="L312" s="2">
        <f>Cleaned_Prepared_Data!L312</f>
        <v>4.2</v>
      </c>
      <c r="M312" s="2">
        <f t="shared" si="12"/>
        <v>0</v>
      </c>
      <c r="N312" s="2">
        <f t="shared" si="13"/>
        <v>1</v>
      </c>
      <c r="O312" s="2">
        <f t="shared" si="14"/>
        <v>0</v>
      </c>
    </row>
    <row r="313" spans="1:15" x14ac:dyDescent="0.35">
      <c r="A313" s="2" t="str">
        <f>Cleaned_Prepared_Data!A313</f>
        <v>STR-1078</v>
      </c>
      <c r="B313" s="2" t="str">
        <f>Cleaned_Prepared_Data!P313</f>
        <v>2025-04</v>
      </c>
      <c r="C313" s="2" t="str">
        <f>Cleaned_Prepared_Data!C313</f>
        <v>South</v>
      </c>
      <c r="D313" s="2" t="str">
        <f>Cleaned_Prepared_Data!D313</f>
        <v>High Street</v>
      </c>
      <c r="E313" s="2">
        <f>Cleaned_Prepared_Data!M313</f>
        <v>771129.07</v>
      </c>
      <c r="F313" s="2">
        <f>Cleaned_Prepared_Data!E313</f>
        <v>86026.58</v>
      </c>
      <c r="G313" s="2">
        <f>Cleaned_Prepared_Data!F313</f>
        <v>7479</v>
      </c>
      <c r="H313" s="2">
        <f>Cleaned_Prepared_Data!G313</f>
        <v>0.14199999999999999</v>
      </c>
      <c r="I313" s="2">
        <f>Cleaned_Prepared_Data!H313</f>
        <v>20</v>
      </c>
      <c r="J313" s="2">
        <f>Cleaned_Prepared_Data!I313</f>
        <v>89</v>
      </c>
      <c r="K313" s="2">
        <f>Cleaned_Prepared_Data!K313</f>
        <v>0</v>
      </c>
      <c r="L313" s="2">
        <f>Cleaned_Prepared_Data!L313</f>
        <v>0</v>
      </c>
      <c r="M313" s="2">
        <f t="shared" si="12"/>
        <v>0</v>
      </c>
      <c r="N313" s="2">
        <f t="shared" si="13"/>
        <v>1</v>
      </c>
      <c r="O313" s="2">
        <f t="shared" si="14"/>
        <v>0</v>
      </c>
    </row>
    <row r="314" spans="1:15" x14ac:dyDescent="0.35">
      <c r="A314" s="2" t="str">
        <f>Cleaned_Prepared_Data!A314</f>
        <v>STR-1079</v>
      </c>
      <c r="B314" s="2" t="str">
        <f>Cleaned_Prepared_Data!P314</f>
        <v>2025-01</v>
      </c>
      <c r="C314" s="2" t="str">
        <f>Cleaned_Prepared_Data!C314</f>
        <v>North</v>
      </c>
      <c r="D314" s="2" t="str">
        <f>Cleaned_Prepared_Data!D314</f>
        <v>Residential</v>
      </c>
      <c r="E314" s="2">
        <f>Cleaned_Prepared_Data!M314</f>
        <v>702052.47</v>
      </c>
      <c r="F314" s="2">
        <f>Cleaned_Prepared_Data!E314</f>
        <v>78967.520000000004</v>
      </c>
      <c r="G314" s="2">
        <f>Cleaned_Prepared_Data!F314</f>
        <v>6164</v>
      </c>
      <c r="H314" s="2">
        <f>Cleaned_Prepared_Data!G314</f>
        <v>2.1000000000000001E-2</v>
      </c>
      <c r="I314" s="2">
        <f>Cleaned_Prepared_Data!H314</f>
        <v>16</v>
      </c>
      <c r="J314" s="2">
        <f>Cleaned_Prepared_Data!I314</f>
        <v>85.5</v>
      </c>
      <c r="K314" s="2">
        <f>Cleaned_Prepared_Data!K314</f>
        <v>0</v>
      </c>
      <c r="L314" s="2">
        <f>Cleaned_Prepared_Data!L314</f>
        <v>3.4</v>
      </c>
      <c r="M314" s="2">
        <f t="shared" si="12"/>
        <v>0</v>
      </c>
      <c r="N314" s="2">
        <f t="shared" si="13"/>
        <v>0</v>
      </c>
      <c r="O314" s="2">
        <f t="shared" si="14"/>
        <v>0</v>
      </c>
    </row>
    <row r="315" spans="1:15" x14ac:dyDescent="0.35">
      <c r="A315" s="2" t="str">
        <f>Cleaned_Prepared_Data!A315</f>
        <v>STR-1079</v>
      </c>
      <c r="B315" s="2" t="str">
        <f>Cleaned_Prepared_Data!P315</f>
        <v>2025-02</v>
      </c>
      <c r="C315" s="2" t="str">
        <f>Cleaned_Prepared_Data!C315</f>
        <v>North</v>
      </c>
      <c r="D315" s="2" t="str">
        <f>Cleaned_Prepared_Data!D315</f>
        <v>Residential</v>
      </c>
      <c r="E315" s="2">
        <f>Cleaned_Prepared_Data!M315</f>
        <v>688368.46</v>
      </c>
      <c r="F315" s="2">
        <f>Cleaned_Prepared_Data!E315</f>
        <v>46767.99</v>
      </c>
      <c r="G315" s="2">
        <f>Cleaned_Prepared_Data!F315</f>
        <v>7973</v>
      </c>
      <c r="H315" s="2">
        <f>Cleaned_Prepared_Data!G315</f>
        <v>0.183</v>
      </c>
      <c r="I315" s="2">
        <f>Cleaned_Prepared_Data!H315</f>
        <v>18</v>
      </c>
      <c r="J315" s="2">
        <f>Cleaned_Prepared_Data!I315</f>
        <v>94.8</v>
      </c>
      <c r="K315" s="2">
        <f>Cleaned_Prepared_Data!K315</f>
        <v>0</v>
      </c>
      <c r="L315" s="2">
        <f>Cleaned_Prepared_Data!L315</f>
        <v>0</v>
      </c>
      <c r="M315" s="2">
        <f t="shared" si="12"/>
        <v>0</v>
      </c>
      <c r="N315" s="2">
        <f t="shared" si="13"/>
        <v>0</v>
      </c>
      <c r="O315" s="2">
        <f t="shared" si="14"/>
        <v>0</v>
      </c>
    </row>
    <row r="316" spans="1:15" x14ac:dyDescent="0.35">
      <c r="A316" s="2" t="str">
        <f>Cleaned_Prepared_Data!A316</f>
        <v>STR-1079</v>
      </c>
      <c r="B316" s="2" t="str">
        <f>Cleaned_Prepared_Data!P316</f>
        <v>2025-03</v>
      </c>
      <c r="C316" s="2" t="str">
        <f>Cleaned_Prepared_Data!C316</f>
        <v>North</v>
      </c>
      <c r="D316" s="2" t="str">
        <f>Cleaned_Prepared_Data!D316</f>
        <v>Residential</v>
      </c>
      <c r="E316" s="2">
        <f>Cleaned_Prepared_Data!M316</f>
        <v>712375.77</v>
      </c>
      <c r="F316" s="2">
        <f>Cleaned_Prepared_Data!E316</f>
        <v>62507.16</v>
      </c>
      <c r="G316" s="2">
        <f>Cleaned_Prepared_Data!F316</f>
        <v>6000</v>
      </c>
      <c r="H316" s="2">
        <f>Cleaned_Prepared_Data!G316</f>
        <v>9.0999999999999998E-2</v>
      </c>
      <c r="I316" s="2">
        <f>Cleaned_Prepared_Data!H316</f>
        <v>14</v>
      </c>
      <c r="J316" s="2">
        <f>Cleaned_Prepared_Data!I316</f>
        <v>98.2</v>
      </c>
      <c r="K316" s="2">
        <f>Cleaned_Prepared_Data!K316</f>
        <v>1</v>
      </c>
      <c r="L316" s="2">
        <f>Cleaned_Prepared_Data!L316</f>
        <v>3.9</v>
      </c>
      <c r="M316" s="2">
        <f t="shared" si="12"/>
        <v>0</v>
      </c>
      <c r="N316" s="2">
        <f t="shared" si="13"/>
        <v>0</v>
      </c>
      <c r="O316" s="2">
        <f t="shared" si="14"/>
        <v>0</v>
      </c>
    </row>
    <row r="317" spans="1:15" x14ac:dyDescent="0.35">
      <c r="A317" s="2" t="str">
        <f>Cleaned_Prepared_Data!A317</f>
        <v>STR-1079</v>
      </c>
      <c r="B317" s="2" t="str">
        <f>Cleaned_Prepared_Data!P317</f>
        <v>2025-04</v>
      </c>
      <c r="C317" s="2" t="str">
        <f>Cleaned_Prepared_Data!C317</f>
        <v>North</v>
      </c>
      <c r="D317" s="2" t="str">
        <f>Cleaned_Prepared_Data!D317</f>
        <v>Residential</v>
      </c>
      <c r="E317" s="2">
        <f>Cleaned_Prepared_Data!M317</f>
        <v>844710.67</v>
      </c>
      <c r="F317" s="2">
        <f>Cleaned_Prepared_Data!E317</f>
        <v>66456.28</v>
      </c>
      <c r="G317" s="2">
        <f>Cleaned_Prepared_Data!F317</f>
        <v>9967</v>
      </c>
      <c r="H317" s="2">
        <f>Cleaned_Prepared_Data!G317</f>
        <v>0.108</v>
      </c>
      <c r="I317" s="2">
        <f>Cleaned_Prepared_Data!H317</f>
        <v>20</v>
      </c>
      <c r="J317" s="2">
        <f>Cleaned_Prepared_Data!I317</f>
        <v>94.7</v>
      </c>
      <c r="K317" s="2">
        <f>Cleaned_Prepared_Data!K317</f>
        <v>0</v>
      </c>
      <c r="L317" s="2">
        <f>Cleaned_Prepared_Data!L317</f>
        <v>4.2</v>
      </c>
      <c r="M317" s="2">
        <f t="shared" si="12"/>
        <v>0</v>
      </c>
      <c r="N317" s="2">
        <f t="shared" si="13"/>
        <v>0</v>
      </c>
      <c r="O317" s="2">
        <f t="shared" si="14"/>
        <v>0</v>
      </c>
    </row>
    <row r="318" spans="1:15" x14ac:dyDescent="0.35">
      <c r="A318" s="2" t="str">
        <f>Cleaned_Prepared_Data!A318</f>
        <v>STR-1080</v>
      </c>
      <c r="B318" s="2" t="str">
        <f>Cleaned_Prepared_Data!P318</f>
        <v>2025-01</v>
      </c>
      <c r="C318" s="2" t="str">
        <f>Cleaned_Prepared_Data!C318</f>
        <v>East</v>
      </c>
      <c r="D318" s="2" t="str">
        <f>Cleaned_Prepared_Data!D318</f>
        <v>Residential</v>
      </c>
      <c r="E318" s="2">
        <f>Cleaned_Prepared_Data!M318</f>
        <v>620264.19999999995</v>
      </c>
      <c r="F318" s="2">
        <f>Cleaned_Prepared_Data!E318</f>
        <v>76614.320000000007</v>
      </c>
      <c r="G318" s="2">
        <f>Cleaned_Prepared_Data!F318</f>
        <v>5639</v>
      </c>
      <c r="H318" s="2">
        <f>Cleaned_Prepared_Data!G318</f>
        <v>0.17399999999999999</v>
      </c>
      <c r="I318" s="2">
        <f>Cleaned_Prepared_Data!H318</f>
        <v>15</v>
      </c>
      <c r="J318" s="2">
        <f>Cleaned_Prepared_Data!I318</f>
        <v>92.9</v>
      </c>
      <c r="K318" s="2">
        <f>Cleaned_Prepared_Data!K318</f>
        <v>1</v>
      </c>
      <c r="L318" s="2">
        <f>Cleaned_Prepared_Data!L318</f>
        <v>4</v>
      </c>
      <c r="M318" s="2">
        <f t="shared" si="12"/>
        <v>0</v>
      </c>
      <c r="N318" s="2">
        <f t="shared" si="13"/>
        <v>0</v>
      </c>
      <c r="O318" s="2">
        <f t="shared" si="14"/>
        <v>0</v>
      </c>
    </row>
    <row r="319" spans="1:15" x14ac:dyDescent="0.35">
      <c r="A319" s="2" t="str">
        <f>Cleaned_Prepared_Data!A319</f>
        <v>STR-1080</v>
      </c>
      <c r="B319" s="2" t="str">
        <f>Cleaned_Prepared_Data!P319</f>
        <v>2025-02</v>
      </c>
      <c r="C319" s="2" t="str">
        <f>Cleaned_Prepared_Data!C319</f>
        <v>East</v>
      </c>
      <c r="D319" s="2" t="str">
        <f>Cleaned_Prepared_Data!D319</f>
        <v>Residential</v>
      </c>
      <c r="E319" s="2">
        <f>Cleaned_Prepared_Data!M319</f>
        <v>536845.42000000004</v>
      </c>
      <c r="F319" s="2">
        <f>Cleaned_Prepared_Data!E319</f>
        <v>24088.06</v>
      </c>
      <c r="G319" s="2">
        <f>Cleaned_Prepared_Data!F319</f>
        <v>3466</v>
      </c>
      <c r="H319" s="2">
        <f>Cleaned_Prepared_Data!G319</f>
        <v>0</v>
      </c>
      <c r="I319" s="2">
        <f>Cleaned_Prepared_Data!H319</f>
        <v>11</v>
      </c>
      <c r="J319" s="2">
        <f>Cleaned_Prepared_Data!I319</f>
        <v>88</v>
      </c>
      <c r="K319" s="2">
        <f>Cleaned_Prepared_Data!K319</f>
        <v>0</v>
      </c>
      <c r="L319" s="2">
        <f>Cleaned_Prepared_Data!L319</f>
        <v>3.8</v>
      </c>
      <c r="M319" s="2">
        <f t="shared" si="12"/>
        <v>0</v>
      </c>
      <c r="N319" s="2">
        <f t="shared" si="13"/>
        <v>0</v>
      </c>
      <c r="O319" s="2">
        <f t="shared" si="14"/>
        <v>0</v>
      </c>
    </row>
    <row r="320" spans="1:15" x14ac:dyDescent="0.35">
      <c r="A320" s="2" t="str">
        <f>Cleaned_Prepared_Data!A320</f>
        <v>STR-1080</v>
      </c>
      <c r="B320" s="2" t="str">
        <f>Cleaned_Prepared_Data!P320</f>
        <v>2025-03</v>
      </c>
      <c r="C320" s="2" t="str">
        <f>Cleaned_Prepared_Data!C320</f>
        <v>East</v>
      </c>
      <c r="D320" s="2" t="str">
        <f>Cleaned_Prepared_Data!D320</f>
        <v>Residential</v>
      </c>
      <c r="E320" s="2">
        <f>Cleaned_Prepared_Data!M320</f>
        <v>726776.22</v>
      </c>
      <c r="F320" s="2">
        <f>Cleaned_Prepared_Data!E320</f>
        <v>81902.58</v>
      </c>
      <c r="G320" s="2">
        <f>Cleaned_Prepared_Data!F320</f>
        <v>7775</v>
      </c>
      <c r="H320" s="2">
        <f>Cleaned_Prepared_Data!G320</f>
        <v>0.215</v>
      </c>
      <c r="I320" s="2">
        <f>Cleaned_Prepared_Data!H320</f>
        <v>20</v>
      </c>
      <c r="J320" s="2">
        <f>Cleaned_Prepared_Data!I320</f>
        <v>85.2</v>
      </c>
      <c r="K320" s="2">
        <f>Cleaned_Prepared_Data!K320</f>
        <v>1</v>
      </c>
      <c r="L320" s="2">
        <f>Cleaned_Prepared_Data!L320</f>
        <v>4.2</v>
      </c>
      <c r="M320" s="2">
        <f t="shared" si="12"/>
        <v>0</v>
      </c>
      <c r="N320" s="2">
        <f t="shared" si="13"/>
        <v>0</v>
      </c>
      <c r="O320" s="2">
        <f t="shared" si="14"/>
        <v>0</v>
      </c>
    </row>
    <row r="321" spans="1:15" x14ac:dyDescent="0.35">
      <c r="A321" s="2" t="str">
        <f>Cleaned_Prepared_Data!A321</f>
        <v>STR-1080</v>
      </c>
      <c r="B321" s="2" t="str">
        <f>Cleaned_Prepared_Data!P321</f>
        <v>2025-04</v>
      </c>
      <c r="C321" s="2" t="str">
        <f>Cleaned_Prepared_Data!C321</f>
        <v>East</v>
      </c>
      <c r="D321" s="2" t="str">
        <f>Cleaned_Prepared_Data!D321</f>
        <v>Residential</v>
      </c>
      <c r="E321" s="2">
        <f>Cleaned_Prepared_Data!M321</f>
        <v>559660.84</v>
      </c>
      <c r="F321" s="2">
        <f>Cleaned_Prepared_Data!E321</f>
        <v>40553.11</v>
      </c>
      <c r="G321" s="2">
        <f>Cleaned_Prepared_Data!F321</f>
        <v>5317</v>
      </c>
      <c r="H321" s="2">
        <f>Cleaned_Prepared_Data!G321</f>
        <v>0.16500000000000001</v>
      </c>
      <c r="I321" s="2">
        <f>Cleaned_Prepared_Data!H321</f>
        <v>17</v>
      </c>
      <c r="J321" s="2">
        <f>Cleaned_Prepared_Data!I321</f>
        <v>84.3</v>
      </c>
      <c r="K321" s="2">
        <f>Cleaned_Prepared_Data!K321</f>
        <v>0</v>
      </c>
      <c r="L321" s="2">
        <f>Cleaned_Prepared_Data!L321</f>
        <v>4.0999999999999996</v>
      </c>
      <c r="M321" s="2">
        <f t="shared" si="12"/>
        <v>0</v>
      </c>
      <c r="N321" s="2">
        <f t="shared" si="13"/>
        <v>0</v>
      </c>
      <c r="O321" s="2">
        <f t="shared" si="14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57" customWidth="1"/>
    <col min="3" max="5" width="14" customWidth="1"/>
  </cols>
  <sheetData>
    <row r="1" spans="1:5" x14ac:dyDescent="0.35">
      <c r="A1" s="1" t="s">
        <v>110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2" t="s">
        <v>111</v>
      </c>
      <c r="B3" s="2" t="s">
        <v>112</v>
      </c>
      <c r="C3" s="2"/>
      <c r="D3" s="2"/>
      <c r="E3" s="2"/>
    </row>
    <row r="4" spans="1:5" x14ac:dyDescent="0.35">
      <c r="A4" s="2" t="s">
        <v>113</v>
      </c>
      <c r="B4" s="2" t="s">
        <v>114</v>
      </c>
      <c r="C4" s="2"/>
      <c r="D4" s="2"/>
      <c r="E4" s="2"/>
    </row>
    <row r="5" spans="1:5" x14ac:dyDescent="0.35">
      <c r="A5" s="2" t="s">
        <v>115</v>
      </c>
      <c r="B5" s="2" t="s">
        <v>12</v>
      </c>
      <c r="C5" s="2"/>
      <c r="D5" s="2"/>
      <c r="E5" s="2"/>
    </row>
    <row r="6" spans="1:5" x14ac:dyDescent="0.35">
      <c r="A6" s="2" t="s">
        <v>116</v>
      </c>
      <c r="B6" s="2" t="s">
        <v>4</v>
      </c>
      <c r="C6" s="2"/>
      <c r="D6" s="2"/>
      <c r="E6" s="2"/>
    </row>
    <row r="7" spans="1:5" x14ac:dyDescent="0.35">
      <c r="A7" s="2" t="s">
        <v>117</v>
      </c>
      <c r="B7" s="2">
        <v>320</v>
      </c>
      <c r="C7" s="2"/>
      <c r="D7" s="2"/>
      <c r="E7" s="2"/>
    </row>
    <row r="8" spans="1:5" x14ac:dyDescent="0.35">
      <c r="A8" s="2" t="s">
        <v>118</v>
      </c>
      <c r="B8" s="6">
        <v>0.16724469112486989</v>
      </c>
      <c r="C8" s="2"/>
      <c r="D8" s="2"/>
      <c r="E8" s="2"/>
    </row>
    <row r="9" spans="1:5" x14ac:dyDescent="0.35">
      <c r="A9" s="2" t="s">
        <v>119</v>
      </c>
      <c r="B9" s="6">
        <v>0.16462596373846999</v>
      </c>
      <c r="C9" s="2"/>
      <c r="D9" s="2"/>
      <c r="E9" s="2"/>
    </row>
    <row r="10" spans="1:5" x14ac:dyDescent="0.35">
      <c r="A10" s="2" t="s">
        <v>120</v>
      </c>
      <c r="B10" s="6">
        <v>2.4800615101360099E-14</v>
      </c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</row>
    <row r="13" spans="1:5" x14ac:dyDescent="0.35">
      <c r="A13" s="2" t="s">
        <v>126</v>
      </c>
      <c r="B13" s="6">
        <v>560777.34544900001</v>
      </c>
      <c r="C13" s="6">
        <v>15906.905952999999</v>
      </c>
      <c r="D13" s="6">
        <v>35.253703000000002</v>
      </c>
      <c r="E13" s="6">
        <v>0</v>
      </c>
    </row>
    <row r="14" spans="1:5" x14ac:dyDescent="0.35">
      <c r="A14" s="2" t="s">
        <v>4</v>
      </c>
      <c r="B14" s="6">
        <v>2.129575</v>
      </c>
      <c r="C14" s="6">
        <v>0.26647799999999999</v>
      </c>
      <c r="D14" s="6">
        <v>7.9915500000000002</v>
      </c>
      <c r="E14" s="6">
        <v>0</v>
      </c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 t="s">
        <v>127</v>
      </c>
      <c r="B22" s="2"/>
      <c r="C22" s="2"/>
      <c r="D22" s="2"/>
      <c r="E22" s="2"/>
    </row>
    <row r="23" spans="1:5" x14ac:dyDescent="0.35">
      <c r="A23" s="2" t="s">
        <v>128</v>
      </c>
      <c r="B23" s="2">
        <f>INTERCEPT(Cleaned_Prepared_Data!M:M,Cleaned_Prepared_Data!E:E)</f>
        <v>560777.34544943692</v>
      </c>
      <c r="C23" s="2"/>
      <c r="D23" s="2"/>
      <c r="E23" s="2"/>
    </row>
    <row r="24" spans="1:5" x14ac:dyDescent="0.35">
      <c r="A24" s="2" t="s">
        <v>122</v>
      </c>
      <c r="B24" s="2">
        <f>SLOPE(Cleaned_Prepared_Data!M:M,Cleaned_Prepared_Data!E:E)</f>
        <v>2.1295753275898295</v>
      </c>
      <c r="C24" s="2"/>
      <c r="D24" s="2"/>
      <c r="E24" s="2"/>
    </row>
    <row r="25" spans="1:5" x14ac:dyDescent="0.35">
      <c r="A25" s="2" t="s">
        <v>118</v>
      </c>
      <c r="B25" s="2">
        <f>RSQ(Cleaned_Prepared_Data!M:M,Cleaned_Prepared_Data!E:E)</f>
        <v>0.16724469112486978</v>
      </c>
      <c r="C25" s="2"/>
      <c r="D25" s="2"/>
      <c r="E25" s="2"/>
    </row>
    <row r="26" spans="1:5" x14ac:dyDescent="0.35">
      <c r="A26" s="2" t="s">
        <v>129</v>
      </c>
      <c r="B26" s="2" t="s">
        <v>130</v>
      </c>
      <c r="C26" s="2"/>
      <c r="D26" s="2"/>
      <c r="E2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57" customWidth="1"/>
    <col min="3" max="5" width="14" customWidth="1"/>
  </cols>
  <sheetData>
    <row r="1" spans="1:5" x14ac:dyDescent="0.35">
      <c r="A1" s="1" t="s">
        <v>131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2" t="s">
        <v>111</v>
      </c>
      <c r="B3" s="2" t="s">
        <v>112</v>
      </c>
      <c r="C3" s="2"/>
      <c r="D3" s="2"/>
      <c r="E3" s="2"/>
    </row>
    <row r="4" spans="1:5" x14ac:dyDescent="0.35">
      <c r="A4" s="2" t="s">
        <v>113</v>
      </c>
      <c r="B4" s="2" t="s">
        <v>132</v>
      </c>
      <c r="C4" s="2"/>
      <c r="D4" s="2"/>
      <c r="E4" s="2"/>
    </row>
    <row r="5" spans="1:5" x14ac:dyDescent="0.35">
      <c r="A5" s="2" t="s">
        <v>115</v>
      </c>
      <c r="B5" s="2" t="s">
        <v>12</v>
      </c>
      <c r="C5" s="2"/>
      <c r="D5" s="2"/>
      <c r="E5" s="2"/>
    </row>
    <row r="6" spans="1:5" x14ac:dyDescent="0.35">
      <c r="A6" s="2" t="s">
        <v>116</v>
      </c>
      <c r="B6" s="2" t="s">
        <v>5</v>
      </c>
      <c r="C6" s="2"/>
      <c r="D6" s="2"/>
      <c r="E6" s="2"/>
    </row>
    <row r="7" spans="1:5" x14ac:dyDescent="0.35">
      <c r="A7" s="2" t="s">
        <v>117</v>
      </c>
      <c r="B7" s="2">
        <v>320</v>
      </c>
      <c r="C7" s="2"/>
      <c r="D7" s="2"/>
      <c r="E7" s="2"/>
    </row>
    <row r="8" spans="1:5" x14ac:dyDescent="0.35">
      <c r="A8" s="2" t="s">
        <v>118</v>
      </c>
      <c r="B8" s="6">
        <v>0.73628534000331103</v>
      </c>
      <c r="C8" s="2"/>
      <c r="D8" s="2"/>
      <c r="E8" s="2"/>
    </row>
    <row r="9" spans="1:5" x14ac:dyDescent="0.35">
      <c r="A9" s="2" t="s">
        <v>119</v>
      </c>
      <c r="B9" s="6">
        <v>0.73545604861967362</v>
      </c>
      <c r="C9" s="2"/>
      <c r="D9" s="2"/>
      <c r="E9" s="2"/>
    </row>
    <row r="10" spans="1:5" x14ac:dyDescent="0.35">
      <c r="A10" s="2" t="s">
        <v>120</v>
      </c>
      <c r="B10" s="6">
        <v>4.7503615090054651E-94</v>
      </c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</row>
    <row r="13" spans="1:5" x14ac:dyDescent="0.35">
      <c r="A13" s="2" t="s">
        <v>126</v>
      </c>
      <c r="B13" s="6">
        <v>446410.58293400001</v>
      </c>
      <c r="C13" s="6">
        <v>8407.7382629999993</v>
      </c>
      <c r="D13" s="6">
        <v>53.095205</v>
      </c>
      <c r="E13" s="6">
        <v>0</v>
      </c>
    </row>
    <row r="14" spans="1:5" x14ac:dyDescent="0.35">
      <c r="A14" s="2" t="s">
        <v>5</v>
      </c>
      <c r="B14" s="6">
        <v>35.678030999999997</v>
      </c>
      <c r="C14" s="6">
        <v>1.1973780000000001</v>
      </c>
      <c r="D14" s="6">
        <v>29.796790999999999</v>
      </c>
      <c r="E14" s="6">
        <v>0</v>
      </c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 t="s">
        <v>127</v>
      </c>
      <c r="B22" s="2"/>
      <c r="C22" s="2"/>
      <c r="D22" s="2"/>
      <c r="E22" s="2"/>
    </row>
    <row r="23" spans="1:5" x14ac:dyDescent="0.35">
      <c r="A23" s="2" t="s">
        <v>128</v>
      </c>
      <c r="B23" s="2">
        <f>INTERCEPT(Cleaned_Prepared_Data!M:M,Cleaned_Prepared_Data!F:F)</f>
        <v>446410.58293395321</v>
      </c>
      <c r="C23" s="2"/>
      <c r="D23" s="2"/>
      <c r="E23" s="2"/>
    </row>
    <row r="24" spans="1:5" x14ac:dyDescent="0.35">
      <c r="A24" s="2" t="s">
        <v>122</v>
      </c>
      <c r="B24" s="2">
        <f>SLOPE(Cleaned_Prepared_Data!M:M,Cleaned_Prepared_Data!F:F)</f>
        <v>35.678031072640493</v>
      </c>
      <c r="C24" s="2"/>
      <c r="D24" s="2"/>
      <c r="E24" s="2"/>
    </row>
    <row r="25" spans="1:5" x14ac:dyDescent="0.35">
      <c r="A25" s="2" t="s">
        <v>118</v>
      </c>
      <c r="B25" s="2">
        <f>RSQ(Cleaned_Prepared_Data!M:M,Cleaned_Prepared_Data!F:F)</f>
        <v>0.73628534000331136</v>
      </c>
      <c r="C25" s="2"/>
      <c r="D25" s="2"/>
      <c r="E25" s="2"/>
    </row>
    <row r="26" spans="1:5" x14ac:dyDescent="0.35">
      <c r="A26" s="2" t="s">
        <v>129</v>
      </c>
      <c r="B26" s="2" t="s">
        <v>133</v>
      </c>
      <c r="C26" s="2"/>
      <c r="D26" s="2"/>
      <c r="E26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57" customWidth="1"/>
    <col min="3" max="5" width="14" customWidth="1"/>
  </cols>
  <sheetData>
    <row r="1" spans="1:5" x14ac:dyDescent="0.35">
      <c r="A1" s="1" t="s">
        <v>134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2" t="s">
        <v>111</v>
      </c>
      <c r="B3" s="2" t="s">
        <v>112</v>
      </c>
      <c r="C3" s="2"/>
      <c r="D3" s="2"/>
      <c r="E3" s="2"/>
    </row>
    <row r="4" spans="1:5" x14ac:dyDescent="0.35">
      <c r="A4" s="2" t="s">
        <v>113</v>
      </c>
      <c r="B4" s="2" t="s">
        <v>135</v>
      </c>
      <c r="C4" s="2"/>
      <c r="D4" s="2"/>
      <c r="E4" s="2"/>
    </row>
    <row r="5" spans="1:5" x14ac:dyDescent="0.35">
      <c r="A5" s="2" t="s">
        <v>115</v>
      </c>
      <c r="B5" s="2" t="s">
        <v>12</v>
      </c>
      <c r="C5" s="2"/>
      <c r="D5" s="2"/>
      <c r="E5" s="2"/>
    </row>
    <row r="6" spans="1:5" ht="43.5" x14ac:dyDescent="0.35">
      <c r="A6" s="2" t="s">
        <v>116</v>
      </c>
      <c r="B6" s="2" t="s">
        <v>136</v>
      </c>
      <c r="C6" s="2"/>
      <c r="D6" s="2"/>
      <c r="E6" s="2"/>
    </row>
    <row r="7" spans="1:5" x14ac:dyDescent="0.35">
      <c r="A7" s="2" t="s">
        <v>117</v>
      </c>
      <c r="B7" s="2">
        <v>312</v>
      </c>
      <c r="C7" s="2"/>
      <c r="D7" s="2"/>
      <c r="E7" s="2"/>
    </row>
    <row r="8" spans="1:5" x14ac:dyDescent="0.35">
      <c r="A8" s="2" t="s">
        <v>118</v>
      </c>
      <c r="B8" s="6">
        <v>0.82562309047058657</v>
      </c>
      <c r="C8" s="2"/>
      <c r="D8" s="2"/>
      <c r="E8" s="2"/>
    </row>
    <row r="9" spans="1:5" x14ac:dyDescent="0.35">
      <c r="A9" s="2" t="s">
        <v>119</v>
      </c>
      <c r="B9" s="6">
        <v>0.81982983766230044</v>
      </c>
      <c r="C9" s="2"/>
      <c r="D9" s="2"/>
      <c r="E9" s="2"/>
    </row>
    <row r="10" spans="1:5" x14ac:dyDescent="0.35">
      <c r="A10" s="2" t="s">
        <v>120</v>
      </c>
      <c r="B10" s="6">
        <v>7.4499178113047818E-108</v>
      </c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</row>
    <row r="13" spans="1:5" x14ac:dyDescent="0.35">
      <c r="A13" s="2" t="s">
        <v>126</v>
      </c>
      <c r="B13" s="6">
        <v>55572.027069000003</v>
      </c>
      <c r="C13" s="6">
        <v>49448.307435000002</v>
      </c>
      <c r="D13" s="6">
        <v>1.1238410000000001</v>
      </c>
      <c r="E13" s="6">
        <v>0.26197599999999999</v>
      </c>
    </row>
    <row r="14" spans="1:5" x14ac:dyDescent="0.35">
      <c r="A14" s="2" t="s">
        <v>4</v>
      </c>
      <c r="B14" s="6">
        <v>1.1565099999999999</v>
      </c>
      <c r="C14" s="6">
        <v>0.12801899999999999</v>
      </c>
      <c r="D14" s="6">
        <v>9.0338949999999993</v>
      </c>
      <c r="E14" s="6">
        <v>0</v>
      </c>
    </row>
    <row r="15" spans="1:5" x14ac:dyDescent="0.35">
      <c r="A15" s="2" t="s">
        <v>5</v>
      </c>
      <c r="B15" s="6">
        <v>28.413881</v>
      </c>
      <c r="C15" s="6">
        <v>2.4980440000000002</v>
      </c>
      <c r="D15" s="6">
        <v>11.374452</v>
      </c>
      <c r="E15" s="6">
        <v>0</v>
      </c>
    </row>
    <row r="16" spans="1:5" x14ac:dyDescent="0.35">
      <c r="A16" s="2" t="s">
        <v>6</v>
      </c>
      <c r="B16" s="6">
        <v>-65319.736850000001</v>
      </c>
      <c r="C16" s="6">
        <v>36512.401681000003</v>
      </c>
      <c r="D16" s="6">
        <v>-1.7889740000000001</v>
      </c>
      <c r="E16" s="6">
        <v>7.4623999999999996E-2</v>
      </c>
    </row>
    <row r="17" spans="1:5" x14ac:dyDescent="0.35">
      <c r="A17" s="2" t="s">
        <v>7</v>
      </c>
      <c r="B17" s="6">
        <v>2824.3012650000001</v>
      </c>
      <c r="C17" s="6">
        <v>1264.4220479999999</v>
      </c>
      <c r="D17" s="6">
        <v>2.23367</v>
      </c>
      <c r="E17" s="6">
        <v>2.6238999999999998E-2</v>
      </c>
    </row>
    <row r="18" spans="1:5" x14ac:dyDescent="0.35">
      <c r="A18" s="2" t="s">
        <v>8</v>
      </c>
      <c r="B18" s="6">
        <v>3015.9378320000001</v>
      </c>
      <c r="C18" s="6">
        <v>466.65660400000002</v>
      </c>
      <c r="D18" s="6">
        <v>6.4628629999999996</v>
      </c>
      <c r="E18" s="6">
        <v>0</v>
      </c>
    </row>
    <row r="19" spans="1:5" x14ac:dyDescent="0.35">
      <c r="A19" s="2" t="s">
        <v>10</v>
      </c>
      <c r="B19" s="6">
        <v>11926.541510999999</v>
      </c>
      <c r="C19" s="6">
        <v>6618.473054</v>
      </c>
      <c r="D19" s="6">
        <v>1.8020080000000001</v>
      </c>
      <c r="E19" s="6">
        <v>7.2544999999999998E-2</v>
      </c>
    </row>
    <row r="20" spans="1:5" x14ac:dyDescent="0.35">
      <c r="A20" s="2" t="s">
        <v>11</v>
      </c>
      <c r="B20" s="6">
        <v>13003.353418999999</v>
      </c>
      <c r="C20" s="6">
        <v>4775.2369170000002</v>
      </c>
      <c r="D20" s="6">
        <v>2.7230799999999999</v>
      </c>
      <c r="E20" s="6">
        <v>6.8450000000000004E-3</v>
      </c>
    </row>
    <row r="21" spans="1:5" x14ac:dyDescent="0.35">
      <c r="A21" s="2" t="s">
        <v>137</v>
      </c>
      <c r="B21" s="6">
        <v>39203.527550999999</v>
      </c>
      <c r="C21" s="6">
        <v>9420.4546109999992</v>
      </c>
      <c r="D21" s="6">
        <v>4.1615320000000002</v>
      </c>
      <c r="E21" s="6">
        <v>4.1E-5</v>
      </c>
    </row>
    <row r="22" spans="1:5" x14ac:dyDescent="0.35">
      <c r="A22" s="2" t="s">
        <v>138</v>
      </c>
      <c r="B22" s="6">
        <v>17947.161209000002</v>
      </c>
      <c r="C22" s="6">
        <v>6107.4081079999996</v>
      </c>
      <c r="D22" s="6">
        <v>2.9385889999999999</v>
      </c>
      <c r="E22" s="6">
        <v>3.552E-3</v>
      </c>
    </row>
    <row r="23" spans="1:5" x14ac:dyDescent="0.35">
      <c r="A23" s="2" t="s">
        <v>139</v>
      </c>
      <c r="B23" s="6">
        <v>26987.471390999999</v>
      </c>
      <c r="C23" s="6">
        <v>6718.3327099999997</v>
      </c>
      <c r="D23" s="6">
        <v>4.0169889999999997</v>
      </c>
      <c r="E23" s="6">
        <v>7.4999999999999993E-5</v>
      </c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B25" s="2"/>
      <c r="C25" s="2"/>
      <c r="D25" s="2"/>
      <c r="E25" s="2"/>
    </row>
    <row r="26" spans="1:5" x14ac:dyDescent="0.35">
      <c r="A26" s="2" t="s">
        <v>140</v>
      </c>
      <c r="B26" s="2"/>
      <c r="C26" s="2"/>
      <c r="D26" s="2"/>
      <c r="E26" s="2"/>
    </row>
    <row r="27" spans="1:5" ht="29" x14ac:dyDescent="0.35">
      <c r="A27" s="2" t="s">
        <v>141</v>
      </c>
      <c r="B27" s="2"/>
      <c r="C27" s="2"/>
      <c r="D27" s="2"/>
      <c r="E27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9" width="23" customWidth="1"/>
    <col min="10" max="10" width="28" customWidth="1"/>
    <col min="11" max="13" width="23" customWidth="1"/>
    <col min="14" max="14" width="24" customWidth="1"/>
    <col min="15" max="15" width="23" customWidth="1"/>
    <col min="16" max="16" width="57" customWidth="1"/>
    <col min="17" max="18" width="14" customWidth="1"/>
    <col min="19" max="19" width="57" customWidth="1"/>
    <col min="20" max="20" width="14" customWidth="1"/>
    <col min="21" max="21" width="28" customWidth="1"/>
    <col min="22" max="22" width="20" customWidth="1"/>
  </cols>
  <sheetData>
    <row r="1" spans="1:22" x14ac:dyDescent="0.35">
      <c r="A1" s="1" t="s">
        <v>0</v>
      </c>
      <c r="B1" s="1" t="s">
        <v>103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107</v>
      </c>
      <c r="N1" s="1" t="s">
        <v>108</v>
      </c>
      <c r="O1" s="1" t="s">
        <v>109</v>
      </c>
      <c r="P1" s="1" t="s">
        <v>142</v>
      </c>
      <c r="Q1" s="1" t="s">
        <v>143</v>
      </c>
      <c r="R1" s="1" t="s">
        <v>144</v>
      </c>
      <c r="S1" s="1" t="s">
        <v>145</v>
      </c>
      <c r="T1" s="1"/>
      <c r="U1" s="1" t="s">
        <v>121</v>
      </c>
      <c r="V1" s="1" t="s">
        <v>122</v>
      </c>
    </row>
    <row r="2" spans="1:22" x14ac:dyDescent="0.35">
      <c r="A2" s="2" t="str">
        <f>Dummy_Variables!A2</f>
        <v>STR-1001</v>
      </c>
      <c r="B2" s="2" t="str">
        <f>Dummy_Variables!B2</f>
        <v>2025-01</v>
      </c>
      <c r="C2" s="2" t="str">
        <f>Dummy_Variables!C2</f>
        <v>East</v>
      </c>
      <c r="D2" s="2" t="str">
        <f>Dummy_Variables!D2</f>
        <v>Residential</v>
      </c>
      <c r="E2" s="7">
        <f>Dummy_Variables!E2</f>
        <v>658832.62</v>
      </c>
      <c r="F2" s="7">
        <f>Dummy_Variables!F2</f>
        <v>70389.11</v>
      </c>
      <c r="G2" s="7">
        <f>Dummy_Variables!G2</f>
        <v>8302</v>
      </c>
      <c r="H2" s="7">
        <f>Dummy_Variables!H2</f>
        <v>4.2000000000000003E-2</v>
      </c>
      <c r="I2" s="7">
        <f>Dummy_Variables!I2</f>
        <v>17</v>
      </c>
      <c r="J2" s="7">
        <f>Dummy_Variables!J2</f>
        <v>75</v>
      </c>
      <c r="K2" s="2">
        <f>Dummy_Variables!K2</f>
        <v>1</v>
      </c>
      <c r="L2" s="7">
        <f>Dummy_Variables!L2</f>
        <v>3.1</v>
      </c>
      <c r="M2" s="2">
        <f>Dummy_Variables!M2</f>
        <v>0</v>
      </c>
      <c r="N2" s="2">
        <f>Dummy_Variables!N2</f>
        <v>0</v>
      </c>
      <c r="O2" s="2">
        <f>Dummy_Variables!O2</f>
        <v>0</v>
      </c>
      <c r="P2" s="7">
        <f t="shared" ref="P2:P65" si="0">_xlfn.SINGLE(_xlfn.XLOOKUP("Intercept", $U:$U, $V:$V)) + F2 * _xlfn.SINGLE(_xlfn.XLOOKUP("marketing_spend", $U:$U, $V:$V)) + G2 * _xlfn.SINGLE(_xlfn.XLOOKUP("footfall", $U:$U, $V:$V)) + H2 * _xlfn.SINGLE(_xlfn.XLOOKUP("avg_discount_pct", $U:$U, $V:$V)) + I2 * _xlfn.SINGLE(_xlfn.XLOOKUP("staff_count", $U:$U, $V:$V)) + J2 * _xlfn.SINGLE(_xlfn.XLOOKUP("inventory_availability_pct", $U:$U, $V:$V)) + K2 * _xlfn.SINGLE(_xlfn.XLOOKUP("holiday_flag", $U:$U, $V:$V)) + L2 * _xlfn.SINGLE(_xlfn.XLOOKUP("customer_rating", $U:$U, $V:$V)) + M2 * _xlfn.SINGLE(_xlfn.XLOOKUP("store_type_airport", $U:$U, $V:$V)) + N2 * _xlfn.SINGLE(_xlfn.XLOOKUP("store_type_high_street", $U:$U, $V:$V)) + O2 * _xlfn.SINGLE(_xlfn.XLOOKUP("store_type_mall", $U:$U, $V:$V))</f>
        <v>696571.7769175499</v>
      </c>
      <c r="Q2" s="7">
        <f t="shared" ref="Q2:Q65" si="1">E2-P2</f>
        <v>-37739.156917549903</v>
      </c>
      <c r="R2" s="7">
        <f t="shared" ref="R2:R65" si="2">ABS(Q2)</f>
        <v>37739.156917549903</v>
      </c>
      <c r="S2" s="2" t="str">
        <f t="shared" ref="S2:S65" si="3">IF(Q2&gt;0,"Positive residual - actual above prediction",IF(Q2&lt;0,"Negative residual - actual below prediction","No residual"))</f>
        <v>Negative residual - actual below prediction</v>
      </c>
      <c r="T2" s="2"/>
      <c r="U2" s="2" t="s">
        <v>128</v>
      </c>
      <c r="V2" s="2">
        <v>55572.027069377313</v>
      </c>
    </row>
    <row r="3" spans="1:22" x14ac:dyDescent="0.35">
      <c r="A3" s="2" t="str">
        <f>Dummy_Variables!A3</f>
        <v>STR-1001</v>
      </c>
      <c r="B3" s="2" t="str">
        <f>Dummy_Variables!B3</f>
        <v>2025-02</v>
      </c>
      <c r="C3" s="2" t="str">
        <f>Dummy_Variables!C3</f>
        <v>East</v>
      </c>
      <c r="D3" s="2" t="str">
        <f>Dummy_Variables!D3</f>
        <v>Residential</v>
      </c>
      <c r="E3" s="7">
        <f>Dummy_Variables!E3</f>
        <v>634436</v>
      </c>
      <c r="F3" s="7">
        <f>Dummy_Variables!F3</f>
        <v>43827.89</v>
      </c>
      <c r="G3" s="7">
        <f>Dummy_Variables!G3</f>
        <v>8487</v>
      </c>
      <c r="H3" s="7">
        <f>Dummy_Variables!H3</f>
        <v>0.16800000000000001</v>
      </c>
      <c r="I3" s="7">
        <f>Dummy_Variables!I3</f>
        <v>23</v>
      </c>
      <c r="J3" s="7">
        <f>Dummy_Variables!J3</f>
        <v>84.4</v>
      </c>
      <c r="K3" s="2">
        <f>Dummy_Variables!K3</f>
        <v>0</v>
      </c>
      <c r="L3" s="7">
        <f>Dummy_Variables!L3</f>
        <v>2.8</v>
      </c>
      <c r="M3" s="2">
        <f>Dummy_Variables!M3</f>
        <v>0</v>
      </c>
      <c r="N3" s="2">
        <f>Dummy_Variables!N3</f>
        <v>0</v>
      </c>
      <c r="O3" s="2">
        <f>Dummy_Variables!O3</f>
        <v>0</v>
      </c>
      <c r="P3" s="7">
        <f t="shared" si="0"/>
        <v>692347.80416147318</v>
      </c>
      <c r="Q3" s="7">
        <f t="shared" si="1"/>
        <v>-57911.804161473177</v>
      </c>
      <c r="R3" s="7">
        <f t="shared" si="2"/>
        <v>57911.804161473177</v>
      </c>
      <c r="S3" s="2" t="str">
        <f t="shared" si="3"/>
        <v>Negative residual - actual below prediction</v>
      </c>
      <c r="T3" s="2"/>
      <c r="U3" s="2" t="s">
        <v>4</v>
      </c>
      <c r="V3" s="2">
        <v>1.156510489318388</v>
      </c>
    </row>
    <row r="4" spans="1:22" x14ac:dyDescent="0.35">
      <c r="A4" s="2" t="str">
        <f>Dummy_Variables!A4</f>
        <v>STR-1001</v>
      </c>
      <c r="B4" s="2" t="str">
        <f>Dummy_Variables!B4</f>
        <v>2025-03</v>
      </c>
      <c r="C4" s="2" t="str">
        <f>Dummy_Variables!C4</f>
        <v>East</v>
      </c>
      <c r="D4" s="2" t="str">
        <f>Dummy_Variables!D4</f>
        <v>Residential</v>
      </c>
      <c r="E4" s="7">
        <f>Dummy_Variables!E4</f>
        <v>678722.06</v>
      </c>
      <c r="F4" s="7">
        <f>Dummy_Variables!F4</f>
        <v>59921.75</v>
      </c>
      <c r="G4" s="7">
        <f>Dummy_Variables!G4</f>
        <v>9113</v>
      </c>
      <c r="H4" s="7">
        <f>Dummy_Variables!H4</f>
        <v>0.13300000000000001</v>
      </c>
      <c r="I4" s="7">
        <f>Dummy_Variables!I4</f>
        <v>20</v>
      </c>
      <c r="J4" s="7">
        <f>Dummy_Variables!J4</f>
        <v>88</v>
      </c>
      <c r="K4" s="2">
        <f>Dummy_Variables!K4</f>
        <v>0</v>
      </c>
      <c r="L4" s="7">
        <f>Dummy_Variables!L4</f>
        <v>3.2</v>
      </c>
      <c r="M4" s="2">
        <f>Dummy_Variables!M4</f>
        <v>0</v>
      </c>
      <c r="N4" s="2">
        <f>Dummy_Variables!N4</f>
        <v>0</v>
      </c>
      <c r="O4" s="2">
        <f>Dummy_Variables!O4</f>
        <v>0</v>
      </c>
      <c r="P4" s="7">
        <f t="shared" si="0"/>
        <v>738619.61603051936</v>
      </c>
      <c r="Q4" s="7">
        <f t="shared" si="1"/>
        <v>-59897.556030519307</v>
      </c>
      <c r="R4" s="7">
        <f t="shared" si="2"/>
        <v>59897.556030519307</v>
      </c>
      <c r="S4" s="2" t="str">
        <f t="shared" si="3"/>
        <v>Negative residual - actual below prediction</v>
      </c>
      <c r="T4" s="2"/>
      <c r="U4" s="2" t="s">
        <v>5</v>
      </c>
      <c r="V4" s="2">
        <v>28.41388084200096</v>
      </c>
    </row>
    <row r="5" spans="1:22" x14ac:dyDescent="0.35">
      <c r="A5" s="2" t="str">
        <f>Dummy_Variables!A5</f>
        <v>STR-1001</v>
      </c>
      <c r="B5" s="2" t="str">
        <f>Dummy_Variables!B5</f>
        <v>2025-04</v>
      </c>
      <c r="C5" s="2" t="str">
        <f>Dummy_Variables!C5</f>
        <v>East</v>
      </c>
      <c r="D5" s="2" t="str">
        <f>Dummy_Variables!D5</f>
        <v>Residential</v>
      </c>
      <c r="E5" s="7">
        <f>Dummy_Variables!E5</f>
        <v>658920.30000000005</v>
      </c>
      <c r="F5" s="7">
        <f>Dummy_Variables!F5</f>
        <v>56856.63</v>
      </c>
      <c r="G5" s="7">
        <f>Dummy_Variables!G5</f>
        <v>9431</v>
      </c>
      <c r="H5" s="7">
        <f>Dummy_Variables!H5</f>
        <v>0.14199999999999999</v>
      </c>
      <c r="I5" s="7">
        <f>Dummy_Variables!I5</f>
        <v>23</v>
      </c>
      <c r="J5" s="7">
        <f>Dummy_Variables!J5</f>
        <v>86.9</v>
      </c>
      <c r="K5" s="2">
        <f>Dummy_Variables!K5</f>
        <v>0</v>
      </c>
      <c r="L5" s="7">
        <f>Dummy_Variables!L5</f>
        <v>3.4</v>
      </c>
      <c r="M5" s="2">
        <f>Dummy_Variables!M5</f>
        <v>0</v>
      </c>
      <c r="N5" s="2">
        <f>Dummy_Variables!N5</f>
        <v>0</v>
      </c>
      <c r="O5" s="2">
        <f>Dummy_Variables!O5</f>
        <v>0</v>
      </c>
      <c r="P5" s="7">
        <f t="shared" si="0"/>
        <v>751278.55193822843</v>
      </c>
      <c r="Q5" s="7">
        <f t="shared" si="1"/>
        <v>-92358.251938228379</v>
      </c>
      <c r="R5" s="7">
        <f t="shared" si="2"/>
        <v>92358.251938228379</v>
      </c>
      <c r="S5" s="2" t="str">
        <f t="shared" si="3"/>
        <v>Negative residual - actual below prediction</v>
      </c>
      <c r="T5" s="2"/>
      <c r="U5" s="2" t="s">
        <v>6</v>
      </c>
      <c r="V5" s="2">
        <v>-65319.736849978217</v>
      </c>
    </row>
    <row r="6" spans="1:22" x14ac:dyDescent="0.35">
      <c r="A6" s="2" t="str">
        <f>Dummy_Variables!A6</f>
        <v>STR-1002</v>
      </c>
      <c r="B6" s="2" t="str">
        <f>Dummy_Variables!B6</f>
        <v>2025-01</v>
      </c>
      <c r="C6" s="2" t="str">
        <f>Dummy_Variables!C6</f>
        <v>East</v>
      </c>
      <c r="D6" s="2" t="str">
        <f>Dummy_Variables!D6</f>
        <v>High Street</v>
      </c>
      <c r="E6" s="7">
        <f>Dummy_Variables!E6</f>
        <v>741341.44</v>
      </c>
      <c r="F6" s="7">
        <f>Dummy_Variables!F6</f>
        <v>48412.639999999999</v>
      </c>
      <c r="G6" s="7">
        <f>Dummy_Variables!G6</f>
        <v>9545</v>
      </c>
      <c r="H6" s="7">
        <f>Dummy_Variables!H6</f>
        <v>0.23100000000000001</v>
      </c>
      <c r="I6" s="7">
        <f>Dummy_Variables!I6</f>
        <v>21</v>
      </c>
      <c r="J6" s="7">
        <f>Dummy_Variables!J6</f>
        <v>97.6</v>
      </c>
      <c r="K6" s="2">
        <f>Dummy_Variables!K6</f>
        <v>1</v>
      </c>
      <c r="L6" s="7">
        <f>Dummy_Variables!L6</f>
        <v>4.2</v>
      </c>
      <c r="M6" s="2">
        <f>Dummy_Variables!M6</f>
        <v>0</v>
      </c>
      <c r="N6" s="2">
        <f>Dummy_Variables!N6</f>
        <v>1</v>
      </c>
      <c r="O6" s="2">
        <f>Dummy_Variables!O6</f>
        <v>0</v>
      </c>
      <c r="P6" s="7">
        <f t="shared" si="0"/>
        <v>805837.03249481798</v>
      </c>
      <c r="Q6" s="7">
        <f t="shared" si="1"/>
        <v>-64495.592494818033</v>
      </c>
      <c r="R6" s="7">
        <f t="shared" si="2"/>
        <v>64495.592494818033</v>
      </c>
      <c r="S6" s="2" t="str">
        <f t="shared" si="3"/>
        <v>Negative residual - actual below prediction</v>
      </c>
      <c r="T6" s="2"/>
      <c r="U6" s="2" t="s">
        <v>7</v>
      </c>
      <c r="V6" s="2">
        <v>2824.3012645930739</v>
      </c>
    </row>
    <row r="7" spans="1:22" x14ac:dyDescent="0.35">
      <c r="A7" s="2" t="str">
        <f>Dummy_Variables!A7</f>
        <v>STR-1002</v>
      </c>
      <c r="B7" s="2" t="str">
        <f>Dummy_Variables!B7</f>
        <v>2025-02</v>
      </c>
      <c r="C7" s="2" t="str">
        <f>Dummy_Variables!C7</f>
        <v>East</v>
      </c>
      <c r="D7" s="2" t="str">
        <f>Dummy_Variables!D7</f>
        <v>High Street</v>
      </c>
      <c r="E7" s="7">
        <f>Dummy_Variables!E7</f>
        <v>761835.34</v>
      </c>
      <c r="F7" s="7">
        <f>Dummy_Variables!F7</f>
        <v>64811.21</v>
      </c>
      <c r="G7" s="7">
        <f>Dummy_Variables!G7</f>
        <v>9792</v>
      </c>
      <c r="H7" s="7">
        <f>Dummy_Variables!H7</f>
        <v>0.112</v>
      </c>
      <c r="I7" s="7">
        <f>Dummy_Variables!I7</f>
        <v>20</v>
      </c>
      <c r="J7" s="7">
        <f>Dummy_Variables!J7</f>
        <v>84.2</v>
      </c>
      <c r="K7" s="2">
        <f>Dummy_Variables!K7</f>
        <v>0</v>
      </c>
      <c r="L7" s="7">
        <f>Dummy_Variables!L7</f>
        <v>4.2</v>
      </c>
      <c r="M7" s="2">
        <f>Dummy_Variables!M7</f>
        <v>0</v>
      </c>
      <c r="N7" s="2">
        <f>Dummy_Variables!N7</f>
        <v>1</v>
      </c>
      <c r="O7" s="2">
        <f>Dummy_Variables!O7</f>
        <v>0</v>
      </c>
      <c r="P7" s="7">
        <f t="shared" si="0"/>
        <v>784429.0182407893</v>
      </c>
      <c r="Q7" s="7">
        <f t="shared" si="1"/>
        <v>-22593.678240789333</v>
      </c>
      <c r="R7" s="7">
        <f t="shared" si="2"/>
        <v>22593.678240789333</v>
      </c>
      <c r="S7" s="2" t="str">
        <f t="shared" si="3"/>
        <v>Negative residual - actual below prediction</v>
      </c>
      <c r="T7" s="2"/>
      <c r="U7" s="2" t="s">
        <v>8</v>
      </c>
      <c r="V7" s="2">
        <v>3015.937831840627</v>
      </c>
    </row>
    <row r="8" spans="1:22" x14ac:dyDescent="0.35">
      <c r="A8" s="2" t="str">
        <f>Dummy_Variables!A8</f>
        <v>STR-1002</v>
      </c>
      <c r="B8" s="2" t="str">
        <f>Dummy_Variables!B8</f>
        <v>2025-03</v>
      </c>
      <c r="C8" s="2" t="str">
        <f>Dummy_Variables!C8</f>
        <v>East</v>
      </c>
      <c r="D8" s="2" t="str">
        <f>Dummy_Variables!D8</f>
        <v>High Street</v>
      </c>
      <c r="E8" s="7">
        <f>Dummy_Variables!E8</f>
        <v>806615.54</v>
      </c>
      <c r="F8" s="7">
        <f>Dummy_Variables!F8</f>
        <v>46213.45</v>
      </c>
      <c r="G8" s="7">
        <f>Dummy_Variables!G8</f>
        <v>10616</v>
      </c>
      <c r="H8" s="7">
        <f>Dummy_Variables!H8</f>
        <v>0.122</v>
      </c>
      <c r="I8" s="7">
        <f>Dummy_Variables!I8</f>
        <v>22</v>
      </c>
      <c r="J8" s="7">
        <f>Dummy_Variables!J8</f>
        <v>85.2</v>
      </c>
      <c r="K8" s="2">
        <f>Dummy_Variables!K8</f>
        <v>1</v>
      </c>
      <c r="L8" s="7">
        <f>Dummy_Variables!L8</f>
        <v>4.0999999999999996</v>
      </c>
      <c r="M8" s="2">
        <f>Dummy_Variables!M8</f>
        <v>0</v>
      </c>
      <c r="N8" s="2">
        <f>Dummy_Variables!N8</f>
        <v>1</v>
      </c>
      <c r="O8" s="2">
        <f>Dummy_Variables!O8</f>
        <v>0</v>
      </c>
      <c r="P8" s="7">
        <f t="shared" si="0"/>
        <v>804971.10069808015</v>
      </c>
      <c r="Q8" s="7">
        <f t="shared" si="1"/>
        <v>1644.4393019198906</v>
      </c>
      <c r="R8" s="7">
        <f t="shared" si="2"/>
        <v>1644.4393019198906</v>
      </c>
      <c r="S8" s="2" t="str">
        <f t="shared" si="3"/>
        <v>Positive residual - actual above prediction</v>
      </c>
      <c r="T8" s="2"/>
      <c r="U8" s="2" t="s">
        <v>10</v>
      </c>
      <c r="V8" s="2">
        <v>11926.54151071492</v>
      </c>
    </row>
    <row r="9" spans="1:22" x14ac:dyDescent="0.35">
      <c r="A9" s="2" t="str">
        <f>Dummy_Variables!A9</f>
        <v>STR-1002</v>
      </c>
      <c r="B9" s="2" t="str">
        <f>Dummy_Variables!B9</f>
        <v>2025-04</v>
      </c>
      <c r="C9" s="2" t="str">
        <f>Dummy_Variables!C9</f>
        <v>East</v>
      </c>
      <c r="D9" s="2" t="str">
        <f>Dummy_Variables!D9</f>
        <v>High Street</v>
      </c>
      <c r="E9" s="7">
        <f>Dummy_Variables!E9</f>
        <v>850164.26</v>
      </c>
      <c r="F9" s="7">
        <f>Dummy_Variables!F9</f>
        <v>68148.52</v>
      </c>
      <c r="G9" s="7">
        <f>Dummy_Variables!G9</f>
        <v>8567</v>
      </c>
      <c r="H9" s="7">
        <f>Dummy_Variables!H9</f>
        <v>0.127</v>
      </c>
      <c r="I9" s="7">
        <f>Dummy_Variables!I9</f>
        <v>23</v>
      </c>
      <c r="J9" s="7">
        <f>Dummy_Variables!J9</f>
        <v>95.6</v>
      </c>
      <c r="K9" s="2">
        <f>Dummy_Variables!K9</f>
        <v>0</v>
      </c>
      <c r="L9" s="7">
        <f>Dummy_Variables!L9</f>
        <v>3.9</v>
      </c>
      <c r="M9" s="2">
        <f>Dummy_Variables!M9</f>
        <v>0</v>
      </c>
      <c r="N9" s="2">
        <f>Dummy_Variables!N9</f>
        <v>1</v>
      </c>
      <c r="O9" s="2">
        <f>Dummy_Variables!O9</f>
        <v>0</v>
      </c>
      <c r="P9" s="7">
        <f t="shared" si="0"/>
        <v>791455.44122865621</v>
      </c>
      <c r="Q9" s="7">
        <f t="shared" si="1"/>
        <v>58708.818771343795</v>
      </c>
      <c r="R9" s="7">
        <f t="shared" si="2"/>
        <v>58708.818771343795</v>
      </c>
      <c r="S9" s="2" t="str">
        <f t="shared" si="3"/>
        <v>Positive residual - actual above prediction</v>
      </c>
      <c r="T9" s="2"/>
      <c r="U9" s="2" t="s">
        <v>11</v>
      </c>
      <c r="V9" s="2">
        <v>13003.353419338589</v>
      </c>
    </row>
    <row r="10" spans="1:22" x14ac:dyDescent="0.35">
      <c r="A10" s="2" t="str">
        <f>Dummy_Variables!A10</f>
        <v>STR-1003</v>
      </c>
      <c r="B10" s="2" t="str">
        <f>Dummy_Variables!B10</f>
        <v>2025-01</v>
      </c>
      <c r="C10" s="2" t="str">
        <f>Dummy_Variables!C10</f>
        <v>North</v>
      </c>
      <c r="D10" s="2" t="str">
        <f>Dummy_Variables!D10</f>
        <v>Airport</v>
      </c>
      <c r="E10" s="7">
        <f>Dummy_Variables!E10</f>
        <v>930581.7</v>
      </c>
      <c r="F10" s="7">
        <f>Dummy_Variables!F10</f>
        <v>71838.86</v>
      </c>
      <c r="G10" s="7">
        <f>Dummy_Variables!G10</f>
        <v>10979</v>
      </c>
      <c r="H10" s="7">
        <f>Dummy_Variables!H10</f>
        <v>0.215</v>
      </c>
      <c r="I10" s="7">
        <f>Dummy_Variables!I10</f>
        <v>26</v>
      </c>
      <c r="J10" s="7">
        <f>Dummy_Variables!J10</f>
        <v>88.6</v>
      </c>
      <c r="K10" s="2">
        <f>Dummy_Variables!K10</f>
        <v>1</v>
      </c>
      <c r="L10" s="7">
        <f>Dummy_Variables!L10</f>
        <v>3.8</v>
      </c>
      <c r="M10" s="2">
        <f>Dummy_Variables!M10</f>
        <v>1</v>
      </c>
      <c r="N10" s="2">
        <f>Dummy_Variables!N10</f>
        <v>0</v>
      </c>
      <c r="O10" s="2">
        <f>Dummy_Variables!O10</f>
        <v>0</v>
      </c>
      <c r="P10" s="7">
        <f t="shared" si="0"/>
        <v>877753.41337735229</v>
      </c>
      <c r="Q10" s="7">
        <f t="shared" si="1"/>
        <v>52828.286622647662</v>
      </c>
      <c r="R10" s="7">
        <f t="shared" si="2"/>
        <v>52828.286622647662</v>
      </c>
      <c r="S10" s="2" t="str">
        <f t="shared" si="3"/>
        <v>Positive residual - actual above prediction</v>
      </c>
      <c r="T10" s="2"/>
      <c r="U10" s="2" t="s">
        <v>107</v>
      </c>
      <c r="V10" s="2">
        <v>39203.527551015657</v>
      </c>
    </row>
    <row r="11" spans="1:22" x14ac:dyDescent="0.35">
      <c r="A11" s="2" t="str">
        <f>Dummy_Variables!A11</f>
        <v>STR-1003</v>
      </c>
      <c r="B11" s="2" t="str">
        <f>Dummy_Variables!B11</f>
        <v>2025-02</v>
      </c>
      <c r="C11" s="2" t="str">
        <f>Dummy_Variables!C11</f>
        <v>North</v>
      </c>
      <c r="D11" s="2" t="str">
        <f>Dummy_Variables!D11</f>
        <v>Airport</v>
      </c>
      <c r="E11" s="7">
        <f>Dummy_Variables!E11</f>
        <v>779010.94</v>
      </c>
      <c r="F11" s="7">
        <f>Dummy_Variables!F11</f>
        <v>68133.440000000002</v>
      </c>
      <c r="G11" s="7">
        <f>Dummy_Variables!G11</f>
        <v>9459</v>
      </c>
      <c r="H11" s="7">
        <f>Dummy_Variables!H11</f>
        <v>0.22</v>
      </c>
      <c r="I11" s="7">
        <f>Dummy_Variables!I11</f>
        <v>21</v>
      </c>
      <c r="J11" s="7">
        <f>Dummy_Variables!J11</f>
        <v>85</v>
      </c>
      <c r="K11" s="2">
        <f>Dummy_Variables!K11</f>
        <v>0</v>
      </c>
      <c r="L11" s="7">
        <f>Dummy_Variables!L11</f>
        <v>4.2</v>
      </c>
      <c r="M11" s="2">
        <f>Dummy_Variables!M11</f>
        <v>1</v>
      </c>
      <c r="N11" s="2">
        <f>Dummy_Variables!N11</f>
        <v>0</v>
      </c>
      <c r="O11" s="2">
        <f>Dummy_Variables!O11</f>
        <v>0</v>
      </c>
      <c r="P11" s="7">
        <f t="shared" si="0"/>
        <v>798248.27605535975</v>
      </c>
      <c r="Q11" s="7">
        <f t="shared" si="1"/>
        <v>-19237.336055359803</v>
      </c>
      <c r="R11" s="7">
        <f t="shared" si="2"/>
        <v>19237.336055359803</v>
      </c>
      <c r="S11" s="2" t="str">
        <f t="shared" si="3"/>
        <v>Negative residual - actual below prediction</v>
      </c>
      <c r="T11" s="2"/>
      <c r="U11" s="2" t="s">
        <v>108</v>
      </c>
      <c r="V11" s="2">
        <v>17947.161209254929</v>
      </c>
    </row>
    <row r="12" spans="1:22" x14ac:dyDescent="0.35">
      <c r="A12" s="2" t="str">
        <f>Dummy_Variables!A12</f>
        <v>STR-1003</v>
      </c>
      <c r="B12" s="2" t="str">
        <f>Dummy_Variables!B12</f>
        <v>2025-03</v>
      </c>
      <c r="C12" s="2" t="str">
        <f>Dummy_Variables!C12</f>
        <v>North</v>
      </c>
      <c r="D12" s="2" t="str">
        <f>Dummy_Variables!D12</f>
        <v>Airport</v>
      </c>
      <c r="E12" s="7">
        <f>Dummy_Variables!E12</f>
        <v>723060.76</v>
      </c>
      <c r="F12" s="7">
        <f>Dummy_Variables!F12</f>
        <v>34285.21</v>
      </c>
      <c r="G12" s="7">
        <f>Dummy_Variables!G12</f>
        <v>9172</v>
      </c>
      <c r="H12" s="7">
        <f>Dummy_Variables!H12</f>
        <v>0.21299999999999999</v>
      </c>
      <c r="I12" s="7">
        <f>Dummy_Variables!I12</f>
        <v>22</v>
      </c>
      <c r="J12" s="7">
        <f>Dummy_Variables!J12</f>
        <v>88.3</v>
      </c>
      <c r="K12" s="2">
        <f>Dummy_Variables!K12</f>
        <v>1</v>
      </c>
      <c r="L12" s="7">
        <f>Dummy_Variables!L12</f>
        <v>3.8</v>
      </c>
      <c r="M12" s="2">
        <f>Dummy_Variables!M12</f>
        <v>1</v>
      </c>
      <c r="N12" s="2">
        <f>Dummy_Variables!N12</f>
        <v>0</v>
      </c>
      <c r="O12" s="2">
        <f>Dummy_Variables!O12</f>
        <v>0</v>
      </c>
      <c r="P12" s="7">
        <f t="shared" si="0"/>
        <v>770906.99362444063</v>
      </c>
      <c r="Q12" s="7">
        <f t="shared" si="1"/>
        <v>-47846.233624440618</v>
      </c>
      <c r="R12" s="7">
        <f t="shared" si="2"/>
        <v>47846.233624440618</v>
      </c>
      <c r="S12" s="2" t="str">
        <f t="shared" si="3"/>
        <v>Negative residual - actual below prediction</v>
      </c>
      <c r="T12" s="2"/>
      <c r="U12" s="2" t="s">
        <v>109</v>
      </c>
      <c r="V12" s="2">
        <v>26987.47139125484</v>
      </c>
    </row>
    <row r="13" spans="1:22" x14ac:dyDescent="0.35">
      <c r="A13" s="2" t="str">
        <f>Dummy_Variables!A13</f>
        <v>STR-1003</v>
      </c>
      <c r="B13" s="2" t="str">
        <f>Dummy_Variables!B13</f>
        <v>2025-04</v>
      </c>
      <c r="C13" s="2" t="str">
        <f>Dummy_Variables!C13</f>
        <v>North</v>
      </c>
      <c r="D13" s="2" t="str">
        <f>Dummy_Variables!D13</f>
        <v>Airport</v>
      </c>
      <c r="E13" s="7">
        <f>Dummy_Variables!E13</f>
        <v>910791.94</v>
      </c>
      <c r="F13" s="7">
        <f>Dummy_Variables!F13</f>
        <v>67979.88</v>
      </c>
      <c r="G13" s="7">
        <f>Dummy_Variables!G13</f>
        <v>11230</v>
      </c>
      <c r="H13" s="7">
        <f>Dummy_Variables!H13</f>
        <v>2E-3</v>
      </c>
      <c r="I13" s="7">
        <f>Dummy_Variables!I13</f>
        <v>28</v>
      </c>
      <c r="J13" s="7">
        <f>Dummy_Variables!J13</f>
        <v>85.3</v>
      </c>
      <c r="K13" s="2">
        <f>Dummy_Variables!K13</f>
        <v>0</v>
      </c>
      <c r="L13" s="7">
        <f>Dummy_Variables!L13</f>
        <v>3.8</v>
      </c>
      <c r="M13" s="2">
        <f>Dummy_Variables!M13</f>
        <v>1</v>
      </c>
      <c r="N13" s="2">
        <f>Dummy_Variables!N13</f>
        <v>0</v>
      </c>
      <c r="O13" s="2">
        <f>Dummy_Variables!O13</f>
        <v>0</v>
      </c>
      <c r="P13" s="7">
        <f t="shared" si="0"/>
        <v>878104.91674306709</v>
      </c>
      <c r="Q13" s="7">
        <f t="shared" si="1"/>
        <v>32687.023256932851</v>
      </c>
      <c r="R13" s="7">
        <f t="shared" si="2"/>
        <v>32687.023256932851</v>
      </c>
      <c r="S13" s="2" t="str">
        <f t="shared" si="3"/>
        <v>Positive residual - actual above prediction</v>
      </c>
      <c r="T13" s="2"/>
      <c r="U13" s="2"/>
      <c r="V13" s="2"/>
    </row>
    <row r="14" spans="1:22" x14ac:dyDescent="0.35">
      <c r="A14" s="2" t="str">
        <f>Dummy_Variables!A14</f>
        <v>STR-1004</v>
      </c>
      <c r="B14" s="2" t="str">
        <f>Dummy_Variables!B14</f>
        <v>2025-01</v>
      </c>
      <c r="C14" s="2" t="str">
        <f>Dummy_Variables!C14</f>
        <v>East</v>
      </c>
      <c r="D14" s="2" t="str">
        <f>Dummy_Variables!D14</f>
        <v>Residential</v>
      </c>
      <c r="E14" s="7">
        <f>Dummy_Variables!E14</f>
        <v>922168.6</v>
      </c>
      <c r="F14" s="7">
        <f>Dummy_Variables!F14</f>
        <v>71828.259999999995</v>
      </c>
      <c r="G14" s="7">
        <f>Dummy_Variables!G14</f>
        <v>12775</v>
      </c>
      <c r="H14" s="7">
        <f>Dummy_Variables!H14</f>
        <v>0.11600000000000001</v>
      </c>
      <c r="I14" s="7">
        <f>Dummy_Variables!I14</f>
        <v>30</v>
      </c>
      <c r="J14" s="7">
        <f>Dummy_Variables!J14</f>
        <v>81.7</v>
      </c>
      <c r="K14" s="2">
        <f>Dummy_Variables!K14</f>
        <v>1</v>
      </c>
      <c r="L14" s="7">
        <f>Dummy_Variables!L14</f>
        <v>4.2</v>
      </c>
      <c r="M14" s="2">
        <f>Dummy_Variables!M14</f>
        <v>0</v>
      </c>
      <c r="N14" s="2">
        <f>Dummy_Variables!N14</f>
        <v>0</v>
      </c>
      <c r="O14" s="2">
        <f>Dummy_Variables!O14</f>
        <v>0</v>
      </c>
      <c r="P14" s="7">
        <f t="shared" si="0"/>
        <v>891724.1861419389</v>
      </c>
      <c r="Q14" s="7">
        <f t="shared" si="1"/>
        <v>30444.413858061074</v>
      </c>
      <c r="R14" s="7">
        <f t="shared" si="2"/>
        <v>30444.413858061074</v>
      </c>
      <c r="S14" s="2" t="str">
        <f t="shared" si="3"/>
        <v>Positive residual - actual above prediction</v>
      </c>
      <c r="T14" s="2"/>
      <c r="U14" s="2"/>
      <c r="V14" s="2"/>
    </row>
    <row r="15" spans="1:22" x14ac:dyDescent="0.35">
      <c r="A15" s="2" t="str">
        <f>Dummy_Variables!A15</f>
        <v>STR-1004</v>
      </c>
      <c r="B15" s="2" t="str">
        <f>Dummy_Variables!B15</f>
        <v>2025-02</v>
      </c>
      <c r="C15" s="2" t="str">
        <f>Dummy_Variables!C15</f>
        <v>East</v>
      </c>
      <c r="D15" s="2" t="str">
        <f>Dummy_Variables!D15</f>
        <v>Residential</v>
      </c>
      <c r="E15" s="7">
        <f>Dummy_Variables!E15</f>
        <v>726606.28</v>
      </c>
      <c r="F15" s="7">
        <f>Dummy_Variables!F15</f>
        <v>55716.82</v>
      </c>
      <c r="G15" s="7">
        <f>Dummy_Variables!G15</f>
        <v>10054</v>
      </c>
      <c r="H15" s="7">
        <f>Dummy_Variables!H15</f>
        <v>0.14599999999999999</v>
      </c>
      <c r="I15" s="7">
        <f>Dummy_Variables!I15</f>
        <v>24</v>
      </c>
      <c r="J15" s="7">
        <f>Dummy_Variables!J15</f>
        <v>84.9</v>
      </c>
      <c r="K15" s="2">
        <f>Dummy_Variables!K15</f>
        <v>0</v>
      </c>
      <c r="L15" s="7">
        <f>Dummy_Variables!L15</f>
        <v>4.3</v>
      </c>
      <c r="M15" s="2">
        <f>Dummy_Variables!M15</f>
        <v>0</v>
      </c>
      <c r="N15" s="2">
        <f>Dummy_Variables!N15</f>
        <v>0</v>
      </c>
      <c r="O15" s="2">
        <f>Dummy_Variables!O15</f>
        <v>0</v>
      </c>
      <c r="P15" s="7">
        <f t="shared" si="0"/>
        <v>775896.36221288168</v>
      </c>
      <c r="Q15" s="7">
        <f t="shared" si="1"/>
        <v>-49290.082212881651</v>
      </c>
      <c r="R15" s="7">
        <f t="shared" si="2"/>
        <v>49290.082212881651</v>
      </c>
      <c r="S15" s="2" t="str">
        <f t="shared" si="3"/>
        <v>Negative residual - actual below prediction</v>
      </c>
      <c r="T15" s="2"/>
      <c r="U15" s="2"/>
      <c r="V15" s="2"/>
    </row>
    <row r="16" spans="1:22" x14ac:dyDescent="0.35">
      <c r="A16" s="2" t="str">
        <f>Dummy_Variables!A16</f>
        <v>STR-1004</v>
      </c>
      <c r="B16" s="2" t="str">
        <f>Dummy_Variables!B16</f>
        <v>2025-03</v>
      </c>
      <c r="C16" s="2" t="str">
        <f>Dummy_Variables!C16</f>
        <v>East</v>
      </c>
      <c r="D16" s="2" t="str">
        <f>Dummy_Variables!D16</f>
        <v>Residential</v>
      </c>
      <c r="E16" s="7">
        <f>Dummy_Variables!E16</f>
        <v>746501.09</v>
      </c>
      <c r="F16" s="7">
        <f>Dummy_Variables!F16</f>
        <v>59909.51</v>
      </c>
      <c r="G16" s="7">
        <f>Dummy_Variables!G16</f>
        <v>8895</v>
      </c>
      <c r="H16" s="7">
        <f>Dummy_Variables!H16</f>
        <v>0.22800000000000001</v>
      </c>
      <c r="I16" s="7">
        <f>Dummy_Variables!I16</f>
        <v>23</v>
      </c>
      <c r="J16" s="7">
        <f>Dummy_Variables!J16</f>
        <v>88.8</v>
      </c>
      <c r="K16" s="2">
        <f>Dummy_Variables!K16</f>
        <v>0</v>
      </c>
      <c r="L16" s="7">
        <f>Dummy_Variables!L16</f>
        <v>4.3</v>
      </c>
      <c r="M16" s="2">
        <f>Dummy_Variables!M16</f>
        <v>0</v>
      </c>
      <c r="N16" s="2">
        <f>Dummy_Variables!N16</f>
        <v>0</v>
      </c>
      <c r="O16" s="2">
        <f>Dummy_Variables!O16</f>
        <v>0</v>
      </c>
      <c r="P16" s="7">
        <f t="shared" si="0"/>
        <v>751395.20213834988</v>
      </c>
      <c r="Q16" s="7">
        <f t="shared" si="1"/>
        <v>-4894.1121383499121</v>
      </c>
      <c r="R16" s="7">
        <f t="shared" si="2"/>
        <v>4894.1121383499121</v>
      </c>
      <c r="S16" s="2" t="str">
        <f t="shared" si="3"/>
        <v>Negative residual - actual below prediction</v>
      </c>
      <c r="T16" s="2"/>
      <c r="U16" s="2"/>
      <c r="V16" s="2"/>
    </row>
    <row r="17" spans="1:22" x14ac:dyDescent="0.35">
      <c r="A17" s="2" t="str">
        <f>Dummy_Variables!A17</f>
        <v>STR-1004</v>
      </c>
      <c r="B17" s="2" t="str">
        <f>Dummy_Variables!B17</f>
        <v>2025-04</v>
      </c>
      <c r="C17" s="2" t="str">
        <f>Dummy_Variables!C17</f>
        <v>East</v>
      </c>
      <c r="D17" s="2" t="str">
        <f>Dummy_Variables!D17</f>
        <v>Residential</v>
      </c>
      <c r="E17" s="7">
        <f>Dummy_Variables!E17</f>
        <v>834017.02</v>
      </c>
      <c r="F17" s="7">
        <f>Dummy_Variables!F17</f>
        <v>75305.710000000006</v>
      </c>
      <c r="G17" s="7">
        <f>Dummy_Variables!G17</f>
        <v>10940</v>
      </c>
      <c r="H17" s="7">
        <f>Dummy_Variables!H17</f>
        <v>6.0000000000000001E-3</v>
      </c>
      <c r="I17" s="7">
        <f>Dummy_Variables!I17</f>
        <v>26</v>
      </c>
      <c r="J17" s="7">
        <f>Dummy_Variables!J17</f>
        <v>76.5</v>
      </c>
      <c r="K17" s="2">
        <f>Dummy_Variables!K17</f>
        <v>0</v>
      </c>
      <c r="L17" s="7">
        <f>Dummy_Variables!L17</f>
        <v>4.5</v>
      </c>
      <c r="M17" s="2">
        <f>Dummy_Variables!M17</f>
        <v>0</v>
      </c>
      <c r="N17" s="2">
        <f>Dummy_Variables!N17</f>
        <v>0</v>
      </c>
      <c r="O17" s="2">
        <f>Dummy_Variables!O17</f>
        <v>0</v>
      </c>
      <c r="P17" s="7">
        <f t="shared" si="0"/>
        <v>815785.97598258813</v>
      </c>
      <c r="Q17" s="7">
        <f t="shared" si="1"/>
        <v>18231.044017411885</v>
      </c>
      <c r="R17" s="7">
        <f t="shared" si="2"/>
        <v>18231.044017411885</v>
      </c>
      <c r="S17" s="2" t="str">
        <f t="shared" si="3"/>
        <v>Positive residual - actual above prediction</v>
      </c>
      <c r="T17" s="2"/>
      <c r="U17" s="2"/>
      <c r="V17" s="2"/>
    </row>
    <row r="18" spans="1:22" x14ac:dyDescent="0.35">
      <c r="A18" s="2" t="str">
        <f>Dummy_Variables!A18</f>
        <v>STR-1005</v>
      </c>
      <c r="B18" s="2" t="str">
        <f>Dummy_Variables!B18</f>
        <v>2025-01</v>
      </c>
      <c r="C18" s="2" t="str">
        <f>Dummy_Variables!C18</f>
        <v>South</v>
      </c>
      <c r="D18" s="2" t="str">
        <f>Dummy_Variables!D18</f>
        <v>Residential</v>
      </c>
      <c r="E18" s="7">
        <f>Dummy_Variables!E18</f>
        <v>666152.52</v>
      </c>
      <c r="F18" s="7">
        <f>Dummy_Variables!F18</f>
        <v>48804.22</v>
      </c>
      <c r="G18" s="7">
        <f>Dummy_Variables!G18</f>
        <v>7057</v>
      </c>
      <c r="H18" s="7">
        <f>Dummy_Variables!H18</f>
        <v>5.0000000000000001E-3</v>
      </c>
      <c r="I18" s="7">
        <f>Dummy_Variables!I18</f>
        <v>15</v>
      </c>
      <c r="J18" s="7">
        <f>Dummy_Variables!J18</f>
        <v>87.7</v>
      </c>
      <c r="K18" s="2">
        <f>Dummy_Variables!K18</f>
        <v>0</v>
      </c>
      <c r="L18" s="7">
        <f>Dummy_Variables!L18</f>
        <v>3.7</v>
      </c>
      <c r="M18" s="2">
        <f>Dummy_Variables!M18</f>
        <v>0</v>
      </c>
      <c r="N18" s="2">
        <f>Dummy_Variables!N18</f>
        <v>0</v>
      </c>
      <c r="O18" s="2">
        <f>Dummy_Variables!O18</f>
        <v>0</v>
      </c>
      <c r="P18" s="7">
        <f t="shared" si="0"/>
        <v>667179.45231300232</v>
      </c>
      <c r="Q18" s="7">
        <f t="shared" si="1"/>
        <v>-1026.9323130022967</v>
      </c>
      <c r="R18" s="7">
        <f t="shared" si="2"/>
        <v>1026.9323130022967</v>
      </c>
      <c r="S18" s="2" t="str">
        <f t="shared" si="3"/>
        <v>Negative residual - actual below prediction</v>
      </c>
      <c r="T18" s="2"/>
      <c r="U18" s="2"/>
      <c r="V18" s="2"/>
    </row>
    <row r="19" spans="1:22" x14ac:dyDescent="0.35">
      <c r="A19" s="2" t="str">
        <f>Dummy_Variables!A19</f>
        <v>STR-1005</v>
      </c>
      <c r="B19" s="2" t="str">
        <f>Dummy_Variables!B19</f>
        <v>2025-02</v>
      </c>
      <c r="C19" s="2" t="str">
        <f>Dummy_Variables!C19</f>
        <v>South</v>
      </c>
      <c r="D19" s="2" t="str">
        <f>Dummy_Variables!D19</f>
        <v>Residential</v>
      </c>
      <c r="E19" s="7">
        <f>Dummy_Variables!E19</f>
        <v>573155.18999999994</v>
      </c>
      <c r="F19" s="7">
        <f>Dummy_Variables!F19</f>
        <v>59117.9</v>
      </c>
      <c r="G19" s="7">
        <f>Dummy_Variables!G19</f>
        <v>4263</v>
      </c>
      <c r="H19" s="7">
        <f>Dummy_Variables!H19</f>
        <v>0.11899999999999999</v>
      </c>
      <c r="I19" s="7">
        <f>Dummy_Variables!I19</f>
        <v>9</v>
      </c>
      <c r="J19" s="7">
        <f>Dummy_Variables!J19</f>
        <v>87.6</v>
      </c>
      <c r="K19" s="2">
        <f>Dummy_Variables!K19</f>
        <v>0</v>
      </c>
      <c r="L19" s="7">
        <f>Dummy_Variables!L19</f>
        <v>3.6</v>
      </c>
      <c r="M19" s="2">
        <f>Dummy_Variables!M19</f>
        <v>0</v>
      </c>
      <c r="N19" s="2">
        <f>Dummy_Variables!N19</f>
        <v>0</v>
      </c>
      <c r="O19" s="2">
        <f>Dummy_Variables!O19</f>
        <v>0</v>
      </c>
      <c r="P19" s="7">
        <f t="shared" si="0"/>
        <v>573724.76163035107</v>
      </c>
      <c r="Q19" s="7">
        <f t="shared" si="1"/>
        <v>-569.57163035112899</v>
      </c>
      <c r="R19" s="7">
        <f t="shared" si="2"/>
        <v>569.57163035112899</v>
      </c>
      <c r="S19" s="2" t="str">
        <f t="shared" si="3"/>
        <v>Negative residual - actual below prediction</v>
      </c>
      <c r="T19" s="2"/>
      <c r="U19" s="2"/>
      <c r="V19" s="2"/>
    </row>
    <row r="20" spans="1:22" x14ac:dyDescent="0.35">
      <c r="A20" s="2" t="str">
        <f>Dummy_Variables!A20</f>
        <v>STR-1005</v>
      </c>
      <c r="B20" s="2" t="str">
        <f>Dummy_Variables!B20</f>
        <v>2025-03</v>
      </c>
      <c r="C20" s="2" t="str">
        <f>Dummy_Variables!C20</f>
        <v>South</v>
      </c>
      <c r="D20" s="2" t="str">
        <f>Dummy_Variables!D20</f>
        <v>Residential</v>
      </c>
      <c r="E20" s="7">
        <f>Dummy_Variables!E20</f>
        <v>666573.19999999995</v>
      </c>
      <c r="F20" s="7">
        <f>Dummy_Variables!F20</f>
        <v>78831.12</v>
      </c>
      <c r="G20" s="7">
        <f>Dummy_Variables!G20</f>
        <v>5538</v>
      </c>
      <c r="H20" s="7">
        <f>Dummy_Variables!H20</f>
        <v>0</v>
      </c>
      <c r="I20" s="7">
        <f>Dummy_Variables!I20</f>
        <v>15</v>
      </c>
      <c r="J20" s="7">
        <f>Dummy_Variables!J20</f>
        <v>94.1</v>
      </c>
      <c r="K20" s="2">
        <f>Dummy_Variables!K20</f>
        <v>0</v>
      </c>
      <c r="L20" s="7">
        <f>Dummy_Variables!L20</f>
        <v>3.9</v>
      </c>
      <c r="M20" s="2">
        <f>Dummy_Variables!M20</f>
        <v>0</v>
      </c>
      <c r="N20" s="2">
        <f>Dummy_Variables!N20</f>
        <v>0</v>
      </c>
      <c r="O20" s="2">
        <f>Dummy_Variables!O20</f>
        <v>0</v>
      </c>
      <c r="P20" s="7">
        <f t="shared" si="0"/>
        <v>680974.4636176147</v>
      </c>
      <c r="Q20" s="7">
        <f t="shared" si="1"/>
        <v>-14401.26361761475</v>
      </c>
      <c r="R20" s="7">
        <f t="shared" si="2"/>
        <v>14401.26361761475</v>
      </c>
      <c r="S20" s="2" t="str">
        <f t="shared" si="3"/>
        <v>Negative residual - actual below prediction</v>
      </c>
      <c r="T20" s="2"/>
      <c r="U20" s="2"/>
      <c r="V20" s="2"/>
    </row>
    <row r="21" spans="1:22" x14ac:dyDescent="0.35">
      <c r="A21" s="2" t="str">
        <f>Dummy_Variables!A21</f>
        <v>STR-1005</v>
      </c>
      <c r="B21" s="2" t="str">
        <f>Dummy_Variables!B21</f>
        <v>2025-04</v>
      </c>
      <c r="C21" s="2" t="str">
        <f>Dummy_Variables!C21</f>
        <v>South</v>
      </c>
      <c r="D21" s="2" t="str">
        <f>Dummy_Variables!D21</f>
        <v>Residential</v>
      </c>
      <c r="E21" s="7">
        <f>Dummy_Variables!E21</f>
        <v>591619.94999999995</v>
      </c>
      <c r="F21" s="7">
        <f>Dummy_Variables!F21</f>
        <v>41441.93</v>
      </c>
      <c r="G21" s="7">
        <f>Dummy_Variables!G21</f>
        <v>4865</v>
      </c>
      <c r="H21" s="7">
        <f>Dummy_Variables!H21</f>
        <v>0.158</v>
      </c>
      <c r="I21" s="7">
        <f>Dummy_Variables!I21</f>
        <v>16</v>
      </c>
      <c r="J21" s="7">
        <f>Dummy_Variables!J21</f>
        <v>88.3</v>
      </c>
      <c r="K21" s="2">
        <f>Dummy_Variables!K21</f>
        <v>0</v>
      </c>
      <c r="L21" s="7">
        <f>Dummy_Variables!L21</f>
        <v>4</v>
      </c>
      <c r="M21" s="2">
        <f>Dummy_Variables!M21</f>
        <v>0</v>
      </c>
      <c r="N21" s="2">
        <f>Dummy_Variables!N21</f>
        <v>0</v>
      </c>
      <c r="O21" s="2">
        <f>Dummy_Variables!O21</f>
        <v>0</v>
      </c>
      <c r="P21" s="7">
        <f t="shared" si="0"/>
        <v>594922.6101483847</v>
      </c>
      <c r="Q21" s="7">
        <f t="shared" si="1"/>
        <v>-3302.660148384748</v>
      </c>
      <c r="R21" s="7">
        <f t="shared" si="2"/>
        <v>3302.660148384748</v>
      </c>
      <c r="S21" s="2" t="str">
        <f t="shared" si="3"/>
        <v>Negative residual - actual below prediction</v>
      </c>
      <c r="T21" s="2"/>
      <c r="U21" s="2"/>
      <c r="V21" s="2"/>
    </row>
    <row r="22" spans="1:22" x14ac:dyDescent="0.35">
      <c r="A22" s="2" t="str">
        <f>Dummy_Variables!A22</f>
        <v>STR-1006</v>
      </c>
      <c r="B22" s="2" t="str">
        <f>Dummy_Variables!B22</f>
        <v>2025-01</v>
      </c>
      <c r="C22" s="2" t="str">
        <f>Dummy_Variables!C22</f>
        <v>North</v>
      </c>
      <c r="D22" s="2" t="str">
        <f>Dummy_Variables!D22</f>
        <v>Residential</v>
      </c>
      <c r="E22" s="7">
        <f>Dummy_Variables!E22</f>
        <v>415721.82</v>
      </c>
      <c r="F22" s="7">
        <f>Dummy_Variables!F22</f>
        <v>30356.28</v>
      </c>
      <c r="G22" s="7">
        <f>Dummy_Variables!G22</f>
        <v>2822</v>
      </c>
      <c r="H22" s="7">
        <f>Dummy_Variables!H22</f>
        <v>0.23100000000000001</v>
      </c>
      <c r="I22" s="7">
        <f>Dummy_Variables!I22</f>
        <v>9</v>
      </c>
      <c r="J22" s="7">
        <f>Dummy_Variables!J22</f>
        <v>84.8</v>
      </c>
      <c r="K22" s="2">
        <f>Dummy_Variables!K22</f>
        <v>0</v>
      </c>
      <c r="L22" s="7">
        <f>Dummy_Variables!L22</f>
        <v>5</v>
      </c>
      <c r="M22" s="2">
        <f>Dummy_Variables!M22</f>
        <v>0</v>
      </c>
      <c r="N22" s="2">
        <f>Dummy_Variables!N22</f>
        <v>0</v>
      </c>
      <c r="O22" s="2">
        <f>Dummy_Variables!O22</f>
        <v>0</v>
      </c>
      <c r="P22" s="7">
        <f t="shared" si="0"/>
        <v>501961.50244796078</v>
      </c>
      <c r="Q22" s="7">
        <f t="shared" si="1"/>
        <v>-86239.682447960775</v>
      </c>
      <c r="R22" s="7">
        <f t="shared" si="2"/>
        <v>86239.682447960775</v>
      </c>
      <c r="S22" s="2" t="str">
        <f t="shared" si="3"/>
        <v>Negative residual - actual below prediction</v>
      </c>
      <c r="T22" s="2"/>
      <c r="U22" s="2"/>
      <c r="V22" s="2"/>
    </row>
    <row r="23" spans="1:22" x14ac:dyDescent="0.35">
      <c r="A23" s="2" t="str">
        <f>Dummy_Variables!A23</f>
        <v>STR-1006</v>
      </c>
      <c r="B23" s="2" t="str">
        <f>Dummy_Variables!B23</f>
        <v>2025-02</v>
      </c>
      <c r="C23" s="2" t="str">
        <f>Dummy_Variables!C23</f>
        <v>North</v>
      </c>
      <c r="D23" s="2" t="str">
        <f>Dummy_Variables!D23</f>
        <v>Residential</v>
      </c>
      <c r="E23" s="7">
        <f>Dummy_Variables!E23</f>
        <v>491905.13</v>
      </c>
      <c r="F23" s="7">
        <f>Dummy_Variables!F23</f>
        <v>33518.879999999997</v>
      </c>
      <c r="G23" s="7">
        <f>Dummy_Variables!G23</f>
        <v>2121</v>
      </c>
      <c r="H23" s="7">
        <f>Dummy_Variables!H23</f>
        <v>0.17599999999999999</v>
      </c>
      <c r="I23" s="7">
        <f>Dummy_Variables!I23</f>
        <v>8</v>
      </c>
      <c r="J23" s="7">
        <f>Dummy_Variables!J23</f>
        <v>88.5</v>
      </c>
      <c r="K23" s="2">
        <f>Dummy_Variables!K23</f>
        <v>0</v>
      </c>
      <c r="L23" s="7">
        <f>Dummy_Variables!L23</f>
        <v>5</v>
      </c>
      <c r="M23" s="2">
        <f>Dummy_Variables!M23</f>
        <v>0</v>
      </c>
      <c r="N23" s="2">
        <f>Dummy_Variables!N23</f>
        <v>0</v>
      </c>
      <c r="O23" s="2">
        <f>Dummy_Variables!O23</f>
        <v>0</v>
      </c>
      <c r="P23" s="7">
        <f t="shared" si="0"/>
        <v>497628.20629120257</v>
      </c>
      <c r="Q23" s="7">
        <f t="shared" si="1"/>
        <v>-5723.0762912025675</v>
      </c>
      <c r="R23" s="7">
        <f t="shared" si="2"/>
        <v>5723.0762912025675</v>
      </c>
      <c r="S23" s="2" t="str">
        <f t="shared" si="3"/>
        <v>Negative residual - actual below prediction</v>
      </c>
      <c r="T23" s="2"/>
      <c r="U23" s="2"/>
      <c r="V23" s="2"/>
    </row>
    <row r="24" spans="1:22" x14ac:dyDescent="0.35">
      <c r="A24" s="2" t="str">
        <f>Dummy_Variables!A24</f>
        <v>STR-1006</v>
      </c>
      <c r="B24" s="2" t="str">
        <f>Dummy_Variables!B24</f>
        <v>2025-03</v>
      </c>
      <c r="C24" s="2" t="str">
        <f>Dummy_Variables!C24</f>
        <v>North</v>
      </c>
      <c r="D24" s="2" t="str">
        <f>Dummy_Variables!D24</f>
        <v>Residential</v>
      </c>
      <c r="E24" s="7">
        <f>Dummy_Variables!E24</f>
        <v>555929.4</v>
      </c>
      <c r="F24" s="7">
        <f>Dummy_Variables!F24</f>
        <v>42267.37</v>
      </c>
      <c r="G24" s="7">
        <f>Dummy_Variables!G24</f>
        <v>3364</v>
      </c>
      <c r="H24" s="7">
        <f>Dummy_Variables!H24</f>
        <v>0.16</v>
      </c>
      <c r="I24" s="7">
        <f>Dummy_Variables!I24</f>
        <v>13</v>
      </c>
      <c r="J24" s="7">
        <f>Dummy_Variables!J24</f>
        <v>82</v>
      </c>
      <c r="K24" s="2">
        <f>Dummy_Variables!K24</f>
        <v>1</v>
      </c>
      <c r="L24" s="7">
        <f>Dummy_Variables!L24</f>
        <v>4.5999999999999996</v>
      </c>
      <c r="M24" s="2">
        <f>Dummy_Variables!M24</f>
        <v>0</v>
      </c>
      <c r="N24" s="2">
        <f>Dummy_Variables!N24</f>
        <v>0</v>
      </c>
      <c r="O24" s="2">
        <f>Dummy_Variables!O24</f>
        <v>0</v>
      </c>
      <c r="P24" s="7">
        <f t="shared" si="0"/>
        <v>545352.6069770871</v>
      </c>
      <c r="Q24" s="7">
        <f t="shared" si="1"/>
        <v>10576.793022912927</v>
      </c>
      <c r="R24" s="7">
        <f t="shared" si="2"/>
        <v>10576.793022912927</v>
      </c>
      <c r="S24" s="2" t="str">
        <f t="shared" si="3"/>
        <v>Positive residual - actual above prediction</v>
      </c>
      <c r="T24" s="2"/>
      <c r="U24" s="2"/>
      <c r="V24" s="2"/>
    </row>
    <row r="25" spans="1:22" x14ac:dyDescent="0.35">
      <c r="A25" s="2" t="str">
        <f>Dummy_Variables!A25</f>
        <v>STR-1006</v>
      </c>
      <c r="B25" s="2" t="str">
        <f>Dummy_Variables!B25</f>
        <v>2025-04</v>
      </c>
      <c r="C25" s="2" t="str">
        <f>Dummy_Variables!C25</f>
        <v>North</v>
      </c>
      <c r="D25" s="2" t="str">
        <f>Dummy_Variables!D25</f>
        <v>Residential</v>
      </c>
      <c r="E25" s="7">
        <f>Dummy_Variables!E25</f>
        <v>565810.99</v>
      </c>
      <c r="F25" s="7">
        <f>Dummy_Variables!F25</f>
        <v>62060.43</v>
      </c>
      <c r="G25" s="7">
        <f>Dummy_Variables!G25</f>
        <v>2613</v>
      </c>
      <c r="H25" s="7">
        <f>Dummy_Variables!H25</f>
        <v>0.216</v>
      </c>
      <c r="I25" s="7">
        <f>Dummy_Variables!I25</f>
        <v>12</v>
      </c>
      <c r="J25" s="7">
        <f>Dummy_Variables!J25</f>
        <v>92.1</v>
      </c>
      <c r="K25" s="2">
        <f>Dummy_Variables!K25</f>
        <v>0</v>
      </c>
      <c r="L25" s="7">
        <f>Dummy_Variables!L25</f>
        <v>4.7</v>
      </c>
      <c r="M25" s="2">
        <f>Dummy_Variables!M25</f>
        <v>0</v>
      </c>
      <c r="N25" s="2">
        <f>Dummy_Variables!N25</f>
        <v>0</v>
      </c>
      <c r="O25" s="2">
        <f>Dummy_Variables!O25</f>
        <v>0</v>
      </c>
      <c r="P25" s="7">
        <f t="shared" si="0"/>
        <v>560257.22337507014</v>
      </c>
      <c r="Q25" s="7">
        <f t="shared" si="1"/>
        <v>5553.7666249298491</v>
      </c>
      <c r="R25" s="7">
        <f t="shared" si="2"/>
        <v>5553.7666249298491</v>
      </c>
      <c r="S25" s="2" t="str">
        <f t="shared" si="3"/>
        <v>Positive residual - actual above prediction</v>
      </c>
      <c r="T25" s="2"/>
      <c r="U25" s="2"/>
      <c r="V25" s="2"/>
    </row>
    <row r="26" spans="1:22" x14ac:dyDescent="0.35">
      <c r="A26" s="2" t="str">
        <f>Dummy_Variables!A26</f>
        <v>STR-1007</v>
      </c>
      <c r="B26" s="2" t="str">
        <f>Dummy_Variables!B26</f>
        <v>2025-01</v>
      </c>
      <c r="C26" s="2" t="str">
        <f>Dummy_Variables!C26</f>
        <v>West</v>
      </c>
      <c r="D26" s="2" t="str">
        <f>Dummy_Variables!D26</f>
        <v>Mall</v>
      </c>
      <c r="E26" s="7">
        <f>Dummy_Variables!E26</f>
        <v>811771.14</v>
      </c>
      <c r="F26" s="7">
        <f>Dummy_Variables!F26</f>
        <v>57696.69</v>
      </c>
      <c r="G26" s="7">
        <f>Dummy_Variables!G26</f>
        <v>10218</v>
      </c>
      <c r="H26" s="7">
        <f>Dummy_Variables!H26</f>
        <v>0.121</v>
      </c>
      <c r="I26" s="7">
        <f>Dummy_Variables!I26</f>
        <v>25</v>
      </c>
      <c r="J26" s="7">
        <f>Dummy_Variables!J26</f>
        <v>94.8</v>
      </c>
      <c r="K26" s="2">
        <f>Dummy_Variables!K26</f>
        <v>0</v>
      </c>
      <c r="L26" s="7">
        <f>Dummy_Variables!L26</f>
        <v>3.5</v>
      </c>
      <c r="M26" s="2">
        <f>Dummy_Variables!M26</f>
        <v>0</v>
      </c>
      <c r="N26" s="2">
        <f>Dummy_Variables!N26</f>
        <v>0</v>
      </c>
      <c r="O26" s="2">
        <f>Dummy_Variables!O26</f>
        <v>1</v>
      </c>
      <c r="P26" s="7">
        <f t="shared" si="0"/>
        <v>833745.84697030531</v>
      </c>
      <c r="Q26" s="7">
        <f t="shared" si="1"/>
        <v>-21974.706970305298</v>
      </c>
      <c r="R26" s="7">
        <f t="shared" si="2"/>
        <v>21974.706970305298</v>
      </c>
      <c r="S26" s="2" t="str">
        <f t="shared" si="3"/>
        <v>Negative residual - actual below prediction</v>
      </c>
      <c r="T26" s="2"/>
      <c r="U26" s="2"/>
      <c r="V26" s="2"/>
    </row>
    <row r="27" spans="1:22" x14ac:dyDescent="0.35">
      <c r="A27" s="2" t="str">
        <f>Dummy_Variables!A27</f>
        <v>STR-1007</v>
      </c>
      <c r="B27" s="2" t="str">
        <f>Dummy_Variables!B27</f>
        <v>2025-02</v>
      </c>
      <c r="C27" s="2" t="str">
        <f>Dummy_Variables!C27</f>
        <v>West</v>
      </c>
      <c r="D27" s="2" t="str">
        <f>Dummy_Variables!D27</f>
        <v>Mall</v>
      </c>
      <c r="E27" s="7">
        <f>Dummy_Variables!E27</f>
        <v>800451.94</v>
      </c>
      <c r="F27" s="7">
        <f>Dummy_Variables!F27</f>
        <v>172415.52</v>
      </c>
      <c r="G27" s="7">
        <f>Dummy_Variables!G27</f>
        <v>8927</v>
      </c>
      <c r="H27" s="7">
        <f>Dummy_Variables!H27</f>
        <v>0.14000000000000001</v>
      </c>
      <c r="I27" s="7">
        <f>Dummy_Variables!I27</f>
        <v>22</v>
      </c>
      <c r="J27" s="7">
        <f>Dummy_Variables!J27</f>
        <v>86.2</v>
      </c>
      <c r="K27" s="2">
        <f>Dummy_Variables!K27</f>
        <v>0</v>
      </c>
      <c r="L27" s="7">
        <f>Dummy_Variables!L27</f>
        <v>3.9</v>
      </c>
      <c r="M27" s="2">
        <f>Dummy_Variables!M27</f>
        <v>0</v>
      </c>
      <c r="N27" s="2">
        <f>Dummy_Variables!N27</f>
        <v>0</v>
      </c>
      <c r="O27" s="2">
        <f>Dummy_Variables!O27</f>
        <v>1</v>
      </c>
      <c r="P27" s="7">
        <f t="shared" si="0"/>
        <v>899287.35424059222</v>
      </c>
      <c r="Q27" s="7">
        <f t="shared" si="1"/>
        <v>-98835.414240592276</v>
      </c>
      <c r="R27" s="7">
        <f t="shared" si="2"/>
        <v>98835.414240592276</v>
      </c>
      <c r="S27" s="2" t="str">
        <f t="shared" si="3"/>
        <v>Negative residual - actual below prediction</v>
      </c>
      <c r="T27" s="2"/>
      <c r="U27" s="2"/>
      <c r="V27" s="2"/>
    </row>
    <row r="28" spans="1:22" x14ac:dyDescent="0.35">
      <c r="A28" s="2" t="str">
        <f>Dummy_Variables!A28</f>
        <v>STR-1007</v>
      </c>
      <c r="B28" s="2" t="str">
        <f>Dummy_Variables!B28</f>
        <v>2025-03</v>
      </c>
      <c r="C28" s="2" t="str">
        <f>Dummy_Variables!C28</f>
        <v>West</v>
      </c>
      <c r="D28" s="2" t="str">
        <f>Dummy_Variables!D28</f>
        <v>Mall</v>
      </c>
      <c r="E28" s="7">
        <f>Dummy_Variables!E28</f>
        <v>783672.82</v>
      </c>
      <c r="F28" s="7">
        <f>Dummy_Variables!F28</f>
        <v>55270.52</v>
      </c>
      <c r="G28" s="7">
        <f>Dummy_Variables!G28</f>
        <v>9315</v>
      </c>
      <c r="H28" s="7">
        <f>Dummy_Variables!H28</f>
        <v>0.16900000000000001</v>
      </c>
      <c r="I28" s="7">
        <f>Dummy_Variables!I28</f>
        <v>23</v>
      </c>
      <c r="J28" s="7">
        <f>Dummy_Variables!J28</f>
        <v>91.9</v>
      </c>
      <c r="K28" s="2">
        <f>Dummy_Variables!K28</f>
        <v>0</v>
      </c>
      <c r="L28" s="7">
        <f>Dummy_Variables!L28</f>
        <v>4</v>
      </c>
      <c r="M28" s="2">
        <f>Dummy_Variables!M28</f>
        <v>0</v>
      </c>
      <c r="N28" s="2">
        <f>Dummy_Variables!N28</f>
        <v>0</v>
      </c>
      <c r="O28" s="2">
        <f>Dummy_Variables!O28</f>
        <v>1</v>
      </c>
      <c r="P28" s="7">
        <f t="shared" si="0"/>
        <v>794253.72861545521</v>
      </c>
      <c r="Q28" s="7">
        <f t="shared" si="1"/>
        <v>-10580.908615455264</v>
      </c>
      <c r="R28" s="7">
        <f t="shared" si="2"/>
        <v>10580.908615455264</v>
      </c>
      <c r="S28" s="2" t="str">
        <f t="shared" si="3"/>
        <v>Negative residual - actual below prediction</v>
      </c>
      <c r="T28" s="2"/>
      <c r="U28" s="2"/>
      <c r="V28" s="2"/>
    </row>
    <row r="29" spans="1:22" x14ac:dyDescent="0.35">
      <c r="A29" s="2" t="str">
        <f>Dummy_Variables!A29</f>
        <v>STR-1007</v>
      </c>
      <c r="B29" s="2" t="str">
        <f>Dummy_Variables!B29</f>
        <v>2025-04</v>
      </c>
      <c r="C29" s="2" t="str">
        <f>Dummy_Variables!C29</f>
        <v>West</v>
      </c>
      <c r="D29" s="2" t="str">
        <f>Dummy_Variables!D29</f>
        <v>Mall</v>
      </c>
      <c r="E29" s="7">
        <f>Dummy_Variables!E29</f>
        <v>701641.97</v>
      </c>
      <c r="F29" s="7">
        <f>Dummy_Variables!F29</f>
        <v>52715.1</v>
      </c>
      <c r="G29" s="7">
        <f>Dummy_Variables!G29</f>
        <v>7223</v>
      </c>
      <c r="H29" s="7">
        <f>Dummy_Variables!H29</f>
        <v>0.122</v>
      </c>
      <c r="I29" s="7">
        <f>Dummy_Variables!I29</f>
        <v>16</v>
      </c>
      <c r="J29" s="7">
        <f>Dummy_Variables!J29</f>
        <v>84.2</v>
      </c>
      <c r="K29" s="2">
        <f>Dummy_Variables!K29</f>
        <v>0</v>
      </c>
      <c r="L29" s="7">
        <f>Dummy_Variables!L29</f>
        <v>3.7</v>
      </c>
      <c r="M29" s="2">
        <f>Dummy_Variables!M29</f>
        <v>0</v>
      </c>
      <c r="N29" s="2">
        <f>Dummy_Variables!N29</f>
        <v>0</v>
      </c>
      <c r="O29" s="2">
        <f>Dummy_Variables!O29</f>
        <v>1</v>
      </c>
      <c r="P29" s="7">
        <f t="shared" si="0"/>
        <v>688032.7113081984</v>
      </c>
      <c r="Q29" s="7">
        <f t="shared" si="1"/>
        <v>13609.258691801573</v>
      </c>
      <c r="R29" s="7">
        <f t="shared" si="2"/>
        <v>13609.258691801573</v>
      </c>
      <c r="S29" s="2" t="str">
        <f t="shared" si="3"/>
        <v>Positive residual - actual above prediction</v>
      </c>
      <c r="T29" s="2"/>
      <c r="U29" s="2"/>
      <c r="V29" s="2"/>
    </row>
    <row r="30" spans="1:22" x14ac:dyDescent="0.35">
      <c r="A30" s="2" t="str">
        <f>Dummy_Variables!A30</f>
        <v>STR-1008</v>
      </c>
      <c r="B30" s="2" t="str">
        <f>Dummy_Variables!B30</f>
        <v>2025-01</v>
      </c>
      <c r="C30" s="2" t="str">
        <f>Dummy_Variables!C30</f>
        <v>East</v>
      </c>
      <c r="D30" s="2" t="str">
        <f>Dummy_Variables!D30</f>
        <v>Residential</v>
      </c>
      <c r="E30" s="7">
        <f>Dummy_Variables!E30</f>
        <v>511844.41</v>
      </c>
      <c r="F30" s="7">
        <f>Dummy_Variables!F30</f>
        <v>68600.62</v>
      </c>
      <c r="G30" s="7">
        <f>Dummy_Variables!G30</f>
        <v>3988</v>
      </c>
      <c r="H30" s="7">
        <f>Dummy_Variables!H30</f>
        <v>0.124</v>
      </c>
      <c r="I30" s="7">
        <f>Dummy_Variables!I30</f>
        <v>11</v>
      </c>
      <c r="J30" s="7">
        <f>Dummy_Variables!J30</f>
        <v>85</v>
      </c>
      <c r="K30" s="2">
        <f>Dummy_Variables!K30</f>
        <v>0</v>
      </c>
      <c r="L30" s="7">
        <f>Dummy_Variables!L30</f>
        <v>3.6</v>
      </c>
      <c r="M30" s="2">
        <f>Dummy_Variables!M30</f>
        <v>0</v>
      </c>
      <c r="N30" s="2">
        <f>Dummy_Variables!N30</f>
        <v>0</v>
      </c>
      <c r="O30" s="2">
        <f>Dummy_Variables!O30</f>
        <v>0</v>
      </c>
      <c r="P30" s="7">
        <f t="shared" si="0"/>
        <v>574358.3750282207</v>
      </c>
      <c r="Q30" s="7">
        <f t="shared" si="1"/>
        <v>-62513.965028220729</v>
      </c>
      <c r="R30" s="7">
        <f t="shared" si="2"/>
        <v>62513.965028220729</v>
      </c>
      <c r="S30" s="2" t="str">
        <f t="shared" si="3"/>
        <v>Negative residual - actual below prediction</v>
      </c>
      <c r="T30" s="2"/>
      <c r="U30" s="2"/>
      <c r="V30" s="2"/>
    </row>
    <row r="31" spans="1:22" x14ac:dyDescent="0.35">
      <c r="A31" s="2" t="str">
        <f>Dummy_Variables!A31</f>
        <v>STR-1008</v>
      </c>
      <c r="B31" s="2" t="str">
        <f>Dummy_Variables!B31</f>
        <v>2025-02</v>
      </c>
      <c r="C31" s="2" t="str">
        <f>Dummy_Variables!C31</f>
        <v>East</v>
      </c>
      <c r="D31" s="2" t="str">
        <f>Dummy_Variables!D31</f>
        <v>Residential</v>
      </c>
      <c r="E31" s="7">
        <f>Dummy_Variables!E31</f>
        <v>537383.79</v>
      </c>
      <c r="F31" s="7">
        <f>Dummy_Variables!F31</f>
        <v>63176.73</v>
      </c>
      <c r="G31" s="7">
        <f>Dummy_Variables!G31</f>
        <v>2390</v>
      </c>
      <c r="H31" s="7">
        <f>Dummy_Variables!H31</f>
        <v>0.216</v>
      </c>
      <c r="I31" s="7">
        <f>Dummy_Variables!I31</f>
        <v>9</v>
      </c>
      <c r="J31" s="7">
        <f>Dummy_Variables!J31</f>
        <v>87.5</v>
      </c>
      <c r="K31" s="2">
        <f>Dummy_Variables!K31</f>
        <v>0</v>
      </c>
      <c r="L31" s="7">
        <f>Dummy_Variables!L31</f>
        <v>3.1</v>
      </c>
      <c r="M31" s="2">
        <f>Dummy_Variables!M31</f>
        <v>0</v>
      </c>
      <c r="N31" s="2">
        <f>Dummy_Variables!N31</f>
        <v>0</v>
      </c>
      <c r="O31" s="2">
        <f>Dummy_Variables!O31</f>
        <v>0</v>
      </c>
      <c r="P31" s="7">
        <f t="shared" si="0"/>
        <v>512060.35731534217</v>
      </c>
      <c r="Q31" s="7">
        <f t="shared" si="1"/>
        <v>25323.432684657862</v>
      </c>
      <c r="R31" s="7">
        <f t="shared" si="2"/>
        <v>25323.432684657862</v>
      </c>
      <c r="S31" s="2" t="str">
        <f t="shared" si="3"/>
        <v>Positive residual - actual above prediction</v>
      </c>
      <c r="T31" s="2"/>
      <c r="U31" s="2"/>
      <c r="V31" s="2"/>
    </row>
    <row r="32" spans="1:22" x14ac:dyDescent="0.35">
      <c r="A32" s="2" t="str">
        <f>Dummy_Variables!A32</f>
        <v>STR-1008</v>
      </c>
      <c r="B32" s="2" t="str">
        <f>Dummy_Variables!B32</f>
        <v>2025-03</v>
      </c>
      <c r="C32" s="2" t="str">
        <f>Dummy_Variables!C32</f>
        <v>East</v>
      </c>
      <c r="D32" s="2" t="str">
        <f>Dummy_Variables!D32</f>
        <v>Residential</v>
      </c>
      <c r="E32" s="7">
        <f>Dummy_Variables!E32</f>
        <v>500173.02</v>
      </c>
      <c r="F32" s="7">
        <f>Dummy_Variables!F32</f>
        <v>44970.080000000002</v>
      </c>
      <c r="G32" s="7">
        <f>Dummy_Variables!G32</f>
        <v>2471</v>
      </c>
      <c r="H32" s="7">
        <f>Dummy_Variables!H32</f>
        <v>0.13600000000000001</v>
      </c>
      <c r="I32" s="7">
        <f>Dummy_Variables!I32</f>
        <v>11</v>
      </c>
      <c r="J32" s="7">
        <f>Dummy_Variables!J32</f>
        <v>87.6</v>
      </c>
      <c r="K32" s="2">
        <f>Dummy_Variables!K32</f>
        <v>1</v>
      </c>
      <c r="L32" s="7">
        <f>Dummy_Variables!L32</f>
        <v>3.7</v>
      </c>
      <c r="M32" s="2">
        <f>Dummy_Variables!M32</f>
        <v>0</v>
      </c>
      <c r="N32" s="2">
        <f>Dummy_Variables!N32</f>
        <v>0</v>
      </c>
      <c r="O32" s="2">
        <f>Dummy_Variables!O32</f>
        <v>0</v>
      </c>
      <c r="P32" s="7">
        <f t="shared" si="0"/>
        <v>524210.02878588217</v>
      </c>
      <c r="Q32" s="7">
        <f t="shared" si="1"/>
        <v>-24037.00878588215</v>
      </c>
      <c r="R32" s="7">
        <f t="shared" si="2"/>
        <v>24037.00878588215</v>
      </c>
      <c r="S32" s="2" t="str">
        <f t="shared" si="3"/>
        <v>Negative residual - actual below prediction</v>
      </c>
      <c r="T32" s="2"/>
      <c r="U32" s="2"/>
      <c r="V32" s="2"/>
    </row>
    <row r="33" spans="1:22" x14ac:dyDescent="0.35">
      <c r="A33" s="2" t="str">
        <f>Dummy_Variables!A33</f>
        <v>STR-1008</v>
      </c>
      <c r="B33" s="2" t="str">
        <f>Dummy_Variables!B33</f>
        <v>2025-04</v>
      </c>
      <c r="C33" s="2" t="str">
        <f>Dummy_Variables!C33</f>
        <v>East</v>
      </c>
      <c r="D33" s="2" t="str">
        <f>Dummy_Variables!D33</f>
        <v>Residential</v>
      </c>
      <c r="E33" s="7">
        <f>Dummy_Variables!E33</f>
        <v>427917.38</v>
      </c>
      <c r="F33" s="7">
        <f>Dummy_Variables!F33</f>
        <v>69816.350000000006</v>
      </c>
      <c r="G33" s="7">
        <f>Dummy_Variables!G33</f>
        <v>971</v>
      </c>
      <c r="H33" s="7">
        <f>Dummy_Variables!H33</f>
        <v>0.16800000000000001</v>
      </c>
      <c r="I33" s="7">
        <f>Dummy_Variables!I33</f>
        <v>5</v>
      </c>
      <c r="J33" s="7">
        <f>Dummy_Variables!J33</f>
        <v>89.9</v>
      </c>
      <c r="K33" s="2">
        <f>Dummy_Variables!K33</f>
        <v>0</v>
      </c>
      <c r="L33" s="7">
        <f>Dummy_Variables!L33</f>
        <v>3.6</v>
      </c>
      <c r="M33" s="2">
        <f>Dummy_Variables!M33</f>
        <v>0</v>
      </c>
      <c r="N33" s="2">
        <f>Dummy_Variables!N33</f>
        <v>0</v>
      </c>
      <c r="O33" s="2">
        <f>Dummy_Variables!O33</f>
        <v>0</v>
      </c>
      <c r="P33" s="7">
        <f t="shared" si="0"/>
        <v>484997.92039214447</v>
      </c>
      <c r="Q33" s="7">
        <f t="shared" si="1"/>
        <v>-57080.540392144467</v>
      </c>
      <c r="R33" s="7">
        <f t="shared" si="2"/>
        <v>57080.540392144467</v>
      </c>
      <c r="S33" s="2" t="str">
        <f t="shared" si="3"/>
        <v>Negative residual - actual below prediction</v>
      </c>
      <c r="T33" s="2"/>
      <c r="U33" s="2"/>
      <c r="V33" s="2"/>
    </row>
    <row r="34" spans="1:22" x14ac:dyDescent="0.35">
      <c r="A34" s="2" t="str">
        <f>Dummy_Variables!A34</f>
        <v>STR-1009</v>
      </c>
      <c r="B34" s="2" t="str">
        <f>Dummy_Variables!B34</f>
        <v>2025-01</v>
      </c>
      <c r="C34" s="2" t="str">
        <f>Dummy_Variables!C34</f>
        <v>North</v>
      </c>
      <c r="D34" s="2" t="str">
        <f>Dummy_Variables!D34</f>
        <v>Residential</v>
      </c>
      <c r="E34" s="7">
        <f>Dummy_Variables!E34</f>
        <v>641865.03</v>
      </c>
      <c r="F34" s="7">
        <f>Dummy_Variables!F34</f>
        <v>54597.83</v>
      </c>
      <c r="G34" s="7">
        <f>Dummy_Variables!G34</f>
        <v>9429</v>
      </c>
      <c r="H34" s="7">
        <f>Dummy_Variables!H34</f>
        <v>0.188</v>
      </c>
      <c r="I34" s="7">
        <f>Dummy_Variables!I34</f>
        <v>21</v>
      </c>
      <c r="J34" s="7">
        <f>Dummy_Variables!J34</f>
        <v>83.3</v>
      </c>
      <c r="K34" s="2">
        <f>Dummy_Variables!K34</f>
        <v>0</v>
      </c>
      <c r="L34" s="7">
        <f>Dummy_Variables!L34</f>
        <v>4.2</v>
      </c>
      <c r="M34" s="2">
        <f>Dummy_Variables!M34</f>
        <v>0</v>
      </c>
      <c r="N34" s="2">
        <f>Dummy_Variables!N34</f>
        <v>0</v>
      </c>
      <c r="O34" s="2">
        <f>Dummy_Variables!O34</f>
        <v>0</v>
      </c>
      <c r="P34" s="7">
        <f t="shared" si="0"/>
        <v>739501.39439983154</v>
      </c>
      <c r="Q34" s="7">
        <f t="shared" si="1"/>
        <v>-97636.364399831509</v>
      </c>
      <c r="R34" s="7">
        <f t="shared" si="2"/>
        <v>97636.364399831509</v>
      </c>
      <c r="S34" s="2" t="str">
        <f t="shared" si="3"/>
        <v>Negative residual - actual below prediction</v>
      </c>
      <c r="T34" s="2"/>
      <c r="U34" s="2"/>
      <c r="V34" s="2"/>
    </row>
    <row r="35" spans="1:22" x14ac:dyDescent="0.35">
      <c r="A35" s="2" t="str">
        <f>Dummy_Variables!A35</f>
        <v>STR-1009</v>
      </c>
      <c r="B35" s="2" t="str">
        <f>Dummy_Variables!B35</f>
        <v>2025-02</v>
      </c>
      <c r="C35" s="2" t="str">
        <f>Dummy_Variables!C35</f>
        <v>North</v>
      </c>
      <c r="D35" s="2" t="str">
        <f>Dummy_Variables!D35</f>
        <v>Residential</v>
      </c>
      <c r="E35" s="7">
        <f>Dummy_Variables!E35</f>
        <v>799477.76000000001</v>
      </c>
      <c r="F35" s="7">
        <f>Dummy_Variables!F35</f>
        <v>73771.91</v>
      </c>
      <c r="G35" s="7">
        <f>Dummy_Variables!G35</f>
        <v>11695</v>
      </c>
      <c r="H35" s="7">
        <f>Dummy_Variables!H35</f>
        <v>7.0000000000000007E-2</v>
      </c>
      <c r="I35" s="7">
        <f>Dummy_Variables!I35</f>
        <v>25</v>
      </c>
      <c r="J35" s="7">
        <f>Dummy_Variables!J35</f>
        <v>84.7</v>
      </c>
      <c r="K35" s="2">
        <f>Dummy_Variables!K35</f>
        <v>0</v>
      </c>
      <c r="L35" s="7">
        <f>Dummy_Variables!L35</f>
        <v>0</v>
      </c>
      <c r="M35" s="2">
        <f>Dummy_Variables!M35</f>
        <v>0</v>
      </c>
      <c r="N35" s="2">
        <f>Dummy_Variables!N35</f>
        <v>0</v>
      </c>
      <c r="O35" s="2">
        <f>Dummy_Variables!O35</f>
        <v>0</v>
      </c>
      <c r="P35" s="7">
        <f t="shared" si="0"/>
        <v>794675.43564086</v>
      </c>
      <c r="Q35" s="7">
        <f t="shared" si="1"/>
        <v>4802.3243591400096</v>
      </c>
      <c r="R35" s="7">
        <f t="shared" si="2"/>
        <v>4802.3243591400096</v>
      </c>
      <c r="S35" s="2" t="str">
        <f t="shared" si="3"/>
        <v>Positive residual - actual above prediction</v>
      </c>
      <c r="T35" s="2"/>
      <c r="U35" s="2"/>
      <c r="V35" s="2"/>
    </row>
    <row r="36" spans="1:22" x14ac:dyDescent="0.35">
      <c r="A36" s="2" t="str">
        <f>Dummy_Variables!A36</f>
        <v>STR-1009</v>
      </c>
      <c r="B36" s="2" t="str">
        <f>Dummy_Variables!B36</f>
        <v>2025-03</v>
      </c>
      <c r="C36" s="2" t="str">
        <f>Dummy_Variables!C36</f>
        <v>North</v>
      </c>
      <c r="D36" s="2" t="str">
        <f>Dummy_Variables!D36</f>
        <v>Residential</v>
      </c>
      <c r="E36" s="7">
        <f>Dummy_Variables!E36</f>
        <v>798952.17</v>
      </c>
      <c r="F36" s="7">
        <f>Dummy_Variables!F36</f>
        <v>74413.88</v>
      </c>
      <c r="G36" s="7">
        <f>Dummy_Variables!G36</f>
        <v>9449</v>
      </c>
      <c r="H36" s="7">
        <f>Dummy_Variables!H36</f>
        <v>3.9E-2</v>
      </c>
      <c r="I36" s="7">
        <f>Dummy_Variables!I36</f>
        <v>23</v>
      </c>
      <c r="J36" s="7">
        <f>Dummy_Variables!J36</f>
        <v>92.1</v>
      </c>
      <c r="K36" s="2">
        <f>Dummy_Variables!K36</f>
        <v>0</v>
      </c>
      <c r="L36" s="7">
        <f>Dummy_Variables!L36</f>
        <v>3.5</v>
      </c>
      <c r="M36" s="2">
        <f>Dummy_Variables!M36</f>
        <v>0</v>
      </c>
      <c r="N36" s="2">
        <f>Dummy_Variables!N36</f>
        <v>0</v>
      </c>
      <c r="O36" s="2">
        <f>Dummy_Variables!O36</f>
        <v>0</v>
      </c>
      <c r="P36" s="7">
        <f t="shared" si="0"/>
        <v>795806.29054502246</v>
      </c>
      <c r="Q36" s="7">
        <f t="shared" si="1"/>
        <v>3145.8794549775776</v>
      </c>
      <c r="R36" s="7">
        <f t="shared" si="2"/>
        <v>3145.8794549775776</v>
      </c>
      <c r="S36" s="2" t="str">
        <f t="shared" si="3"/>
        <v>Positive residual - actual above prediction</v>
      </c>
      <c r="T36" s="2"/>
      <c r="U36" s="2"/>
      <c r="V36" s="2"/>
    </row>
    <row r="37" spans="1:22" x14ac:dyDescent="0.35">
      <c r="A37" s="2" t="str">
        <f>Dummy_Variables!A37</f>
        <v>STR-1009</v>
      </c>
      <c r="B37" s="2" t="str">
        <f>Dummy_Variables!B37</f>
        <v>2025-04</v>
      </c>
      <c r="C37" s="2" t="str">
        <f>Dummy_Variables!C37</f>
        <v>North</v>
      </c>
      <c r="D37" s="2" t="str">
        <f>Dummy_Variables!D37</f>
        <v>Residential</v>
      </c>
      <c r="E37" s="7">
        <f>Dummy_Variables!E37</f>
        <v>800979.78</v>
      </c>
      <c r="F37" s="7">
        <f>Dummy_Variables!F37</f>
        <v>52483.77</v>
      </c>
      <c r="G37" s="7">
        <f>Dummy_Variables!G37</f>
        <v>10453</v>
      </c>
      <c r="H37" s="7">
        <f>Dummy_Variables!H37</f>
        <v>0.247</v>
      </c>
      <c r="I37" s="7">
        <f>Dummy_Variables!I37</f>
        <v>25</v>
      </c>
      <c r="J37" s="7">
        <f>Dummy_Variables!J37</f>
        <v>99</v>
      </c>
      <c r="K37" s="2">
        <f>Dummy_Variables!K37</f>
        <v>0</v>
      </c>
      <c r="L37" s="7">
        <f>Dummy_Variables!L37</f>
        <v>3.6</v>
      </c>
      <c r="M37" s="2">
        <f>Dummy_Variables!M37</f>
        <v>0</v>
      </c>
      <c r="N37" s="2">
        <f>Dummy_Variables!N37</f>
        <v>0</v>
      </c>
      <c r="O37" s="2">
        <f>Dummy_Variables!O37</f>
        <v>0</v>
      </c>
      <c r="P37" s="7">
        <f t="shared" si="0"/>
        <v>813143.82830951037</v>
      </c>
      <c r="Q37" s="7">
        <f t="shared" si="1"/>
        <v>-12164.048309510341</v>
      </c>
      <c r="R37" s="7">
        <f t="shared" si="2"/>
        <v>12164.048309510341</v>
      </c>
      <c r="S37" s="2" t="str">
        <f t="shared" si="3"/>
        <v>Negative residual - actual below prediction</v>
      </c>
      <c r="T37" s="2"/>
      <c r="U37" s="2"/>
      <c r="V37" s="2"/>
    </row>
    <row r="38" spans="1:22" x14ac:dyDescent="0.35">
      <c r="A38" s="2" t="str">
        <f>Dummy_Variables!A38</f>
        <v>STR-1010</v>
      </c>
      <c r="B38" s="2" t="str">
        <f>Dummy_Variables!B38</f>
        <v>2025-01</v>
      </c>
      <c r="C38" s="2" t="str">
        <f>Dummy_Variables!C38</f>
        <v>North</v>
      </c>
      <c r="D38" s="2" t="str">
        <f>Dummy_Variables!D38</f>
        <v>Mall</v>
      </c>
      <c r="E38" s="7">
        <f>Dummy_Variables!E38</f>
        <v>820593.93</v>
      </c>
      <c r="F38" s="7">
        <f>Dummy_Variables!F38</f>
        <v>75269.87</v>
      </c>
      <c r="G38" s="7">
        <f>Dummy_Variables!G38</f>
        <v>8838</v>
      </c>
      <c r="H38" s="7">
        <f>Dummy_Variables!H38</f>
        <v>9.1999999999999998E-2</v>
      </c>
      <c r="I38" s="7">
        <f>Dummy_Variables!I38</f>
        <v>21</v>
      </c>
      <c r="J38" s="7">
        <f>Dummy_Variables!J38</f>
        <v>83.1</v>
      </c>
      <c r="K38" s="2">
        <f>Dummy_Variables!K38</f>
        <v>1</v>
      </c>
      <c r="L38" s="7">
        <f>Dummy_Variables!L38</f>
        <v>4.2</v>
      </c>
      <c r="M38" s="2">
        <f>Dummy_Variables!M38</f>
        <v>0</v>
      </c>
      <c r="N38" s="2">
        <f>Dummy_Variables!N38</f>
        <v>0</v>
      </c>
      <c r="O38" s="2">
        <f>Dummy_Variables!O38</f>
        <v>1</v>
      </c>
      <c r="P38" s="7">
        <f t="shared" si="0"/>
        <v>791197.74199101771</v>
      </c>
      <c r="Q38" s="7">
        <f t="shared" si="1"/>
        <v>29396.188008982339</v>
      </c>
      <c r="R38" s="7">
        <f t="shared" si="2"/>
        <v>29396.188008982339</v>
      </c>
      <c r="S38" s="2" t="str">
        <f t="shared" si="3"/>
        <v>Positive residual - actual above prediction</v>
      </c>
      <c r="T38" s="2"/>
      <c r="U38" s="2"/>
      <c r="V38" s="2"/>
    </row>
    <row r="39" spans="1:22" x14ac:dyDescent="0.35">
      <c r="A39" s="2" t="str">
        <f>Dummy_Variables!A39</f>
        <v>STR-1010</v>
      </c>
      <c r="B39" s="2" t="str">
        <f>Dummy_Variables!B39</f>
        <v>2025-02</v>
      </c>
      <c r="C39" s="2" t="str">
        <f>Dummy_Variables!C39</f>
        <v>North</v>
      </c>
      <c r="D39" s="2" t="str">
        <f>Dummy_Variables!D39</f>
        <v>Mall</v>
      </c>
      <c r="E39" s="7">
        <f>Dummy_Variables!E39</f>
        <v>718330.53</v>
      </c>
      <c r="F39" s="7">
        <f>Dummy_Variables!F39</f>
        <v>61245.41</v>
      </c>
      <c r="G39" s="7">
        <f>Dummy_Variables!G39</f>
        <v>8156</v>
      </c>
      <c r="H39" s="7">
        <f>Dummy_Variables!H39</f>
        <v>0.156</v>
      </c>
      <c r="I39" s="7">
        <f>Dummy_Variables!I39</f>
        <v>19</v>
      </c>
      <c r="J39" s="7">
        <f>Dummy_Variables!J39</f>
        <v>92.9</v>
      </c>
      <c r="K39" s="2">
        <f>Dummy_Variables!K39</f>
        <v>0</v>
      </c>
      <c r="L39" s="7">
        <f>Dummy_Variables!L39</f>
        <v>3.8</v>
      </c>
      <c r="M39" s="2">
        <f>Dummy_Variables!M39</f>
        <v>0</v>
      </c>
      <c r="N39" s="2">
        <f>Dummy_Variables!N39</f>
        <v>0</v>
      </c>
      <c r="O39" s="2">
        <f>Dummy_Variables!O39</f>
        <v>1</v>
      </c>
      <c r="P39" s="7">
        <f t="shared" si="0"/>
        <v>758199.2823457499</v>
      </c>
      <c r="Q39" s="7">
        <f t="shared" si="1"/>
        <v>-39868.752345749876</v>
      </c>
      <c r="R39" s="7">
        <f t="shared" si="2"/>
        <v>39868.752345749876</v>
      </c>
      <c r="S39" s="2" t="str">
        <f t="shared" si="3"/>
        <v>Negative residual - actual below prediction</v>
      </c>
      <c r="T39" s="2"/>
      <c r="U39" s="2"/>
      <c r="V39" s="2"/>
    </row>
    <row r="40" spans="1:22" x14ac:dyDescent="0.35">
      <c r="A40" s="2" t="str">
        <f>Dummy_Variables!A40</f>
        <v>STR-1010</v>
      </c>
      <c r="B40" s="2" t="str">
        <f>Dummy_Variables!B40</f>
        <v>2025-03</v>
      </c>
      <c r="C40" s="2" t="str">
        <f>Dummy_Variables!C40</f>
        <v>North</v>
      </c>
      <c r="D40" s="2" t="str">
        <f>Dummy_Variables!D40</f>
        <v>Mall</v>
      </c>
      <c r="E40" s="7">
        <f>Dummy_Variables!E40</f>
        <v>736633.4</v>
      </c>
      <c r="F40" s="7">
        <f>Dummy_Variables!F40</f>
        <v>93381.26</v>
      </c>
      <c r="G40" s="7">
        <f>Dummy_Variables!G40</f>
        <v>7562</v>
      </c>
      <c r="H40" s="7">
        <f>Dummy_Variables!H40</f>
        <v>0.19800000000000001</v>
      </c>
      <c r="I40" s="7">
        <f>Dummy_Variables!I40</f>
        <v>19</v>
      </c>
      <c r="J40" s="7">
        <f>Dummy_Variables!J40</f>
        <v>82.9</v>
      </c>
      <c r="K40" s="2">
        <f>Dummy_Variables!K40</f>
        <v>0</v>
      </c>
      <c r="L40" s="7">
        <f>Dummy_Variables!L40</f>
        <v>4</v>
      </c>
      <c r="M40" s="2">
        <f>Dummy_Variables!M40</f>
        <v>0</v>
      </c>
      <c r="N40" s="2">
        <f>Dummy_Variables!N40</f>
        <v>0</v>
      </c>
      <c r="O40" s="2">
        <f>Dummy_Variables!O40</f>
        <v>1</v>
      </c>
      <c r="P40" s="7">
        <f t="shared" si="0"/>
        <v>748184.74815152609</v>
      </c>
      <c r="Q40" s="7">
        <f t="shared" si="1"/>
        <v>-11551.348151526065</v>
      </c>
      <c r="R40" s="7">
        <f t="shared" si="2"/>
        <v>11551.348151526065</v>
      </c>
      <c r="S40" s="2" t="str">
        <f t="shared" si="3"/>
        <v>Negative residual - actual below prediction</v>
      </c>
      <c r="T40" s="2"/>
      <c r="U40" s="2"/>
      <c r="V40" s="2"/>
    </row>
    <row r="41" spans="1:22" x14ac:dyDescent="0.35">
      <c r="A41" s="2" t="str">
        <f>Dummy_Variables!A41</f>
        <v>STR-1010</v>
      </c>
      <c r="B41" s="2" t="str">
        <f>Dummy_Variables!B41</f>
        <v>2025-04</v>
      </c>
      <c r="C41" s="2" t="str">
        <f>Dummy_Variables!C41</f>
        <v>North</v>
      </c>
      <c r="D41" s="2" t="str">
        <f>Dummy_Variables!D41</f>
        <v>Mall</v>
      </c>
      <c r="E41" s="7">
        <f>Dummy_Variables!E41</f>
        <v>828623.85</v>
      </c>
      <c r="F41" s="7">
        <f>Dummy_Variables!F41</f>
        <v>65012.19</v>
      </c>
      <c r="G41" s="7">
        <f>Dummy_Variables!G41</f>
        <v>9598</v>
      </c>
      <c r="H41" s="7">
        <f>Dummy_Variables!H41</f>
        <v>8.5000000000000006E-2</v>
      </c>
      <c r="I41" s="7">
        <f>Dummy_Variables!I41</f>
        <v>24</v>
      </c>
      <c r="J41" s="7">
        <f>Dummy_Variables!J41</f>
        <v>98.3</v>
      </c>
      <c r="K41" s="2">
        <f>Dummy_Variables!K41</f>
        <v>0</v>
      </c>
      <c r="L41" s="7">
        <f>Dummy_Variables!L41</f>
        <v>3.8</v>
      </c>
      <c r="M41" s="2">
        <f>Dummy_Variables!M41</f>
        <v>0</v>
      </c>
      <c r="N41" s="2">
        <f>Dummy_Variables!N41</f>
        <v>0</v>
      </c>
      <c r="O41" s="2">
        <f>Dummy_Variables!O41</f>
        <v>1</v>
      </c>
      <c r="P41" s="7">
        <f t="shared" si="0"/>
        <v>838573.69103212329</v>
      </c>
      <c r="Q41" s="7">
        <f t="shared" si="1"/>
        <v>-9949.8410321233096</v>
      </c>
      <c r="R41" s="7">
        <f t="shared" si="2"/>
        <v>9949.8410321233096</v>
      </c>
      <c r="S41" s="2" t="str">
        <f t="shared" si="3"/>
        <v>Negative residual - actual below prediction</v>
      </c>
      <c r="T41" s="2"/>
      <c r="U41" s="2"/>
      <c r="V41" s="2"/>
    </row>
    <row r="42" spans="1:22" x14ac:dyDescent="0.35">
      <c r="A42" s="2" t="str">
        <f>Dummy_Variables!A42</f>
        <v>STR-1011</v>
      </c>
      <c r="B42" s="2" t="str">
        <f>Dummy_Variables!B42</f>
        <v>2025-01</v>
      </c>
      <c r="C42" s="2" t="str">
        <f>Dummy_Variables!C42</f>
        <v>East</v>
      </c>
      <c r="D42" s="2" t="str">
        <f>Dummy_Variables!D42</f>
        <v>Mall</v>
      </c>
      <c r="E42" s="7">
        <f>Dummy_Variables!E42</f>
        <v>592195.85</v>
      </c>
      <c r="F42" s="7">
        <f>Dummy_Variables!F42</f>
        <v>40462.94</v>
      </c>
      <c r="G42" s="7">
        <f>Dummy_Variables!G42</f>
        <v>3660</v>
      </c>
      <c r="H42" s="7">
        <f>Dummy_Variables!H42</f>
        <v>0.218</v>
      </c>
      <c r="I42" s="7">
        <f>Dummy_Variables!I42</f>
        <v>11</v>
      </c>
      <c r="J42" s="7">
        <f>Dummy_Variables!J42</f>
        <v>95.2</v>
      </c>
      <c r="K42" s="2">
        <f>Dummy_Variables!K42</f>
        <v>0</v>
      </c>
      <c r="L42" s="7">
        <f>Dummy_Variables!L42</f>
        <v>4.4000000000000004</v>
      </c>
      <c r="M42" s="2">
        <f>Dummy_Variables!M42</f>
        <v>0</v>
      </c>
      <c r="N42" s="2">
        <f>Dummy_Variables!N42</f>
        <v>0</v>
      </c>
      <c r="O42" s="2">
        <f>Dummy_Variables!O42</f>
        <v>1</v>
      </c>
      <c r="P42" s="7">
        <f t="shared" si="0"/>
        <v>594509.76479456224</v>
      </c>
      <c r="Q42" s="7">
        <f t="shared" si="1"/>
        <v>-2313.9147945622681</v>
      </c>
      <c r="R42" s="7">
        <f t="shared" si="2"/>
        <v>2313.9147945622681</v>
      </c>
      <c r="S42" s="2" t="str">
        <f t="shared" si="3"/>
        <v>Negative residual - actual below prediction</v>
      </c>
      <c r="T42" s="2"/>
      <c r="U42" s="2"/>
      <c r="V42" s="2"/>
    </row>
    <row r="43" spans="1:22" x14ac:dyDescent="0.35">
      <c r="A43" s="2" t="str">
        <f>Dummy_Variables!A43</f>
        <v>STR-1011</v>
      </c>
      <c r="B43" s="2" t="str">
        <f>Dummy_Variables!B43</f>
        <v>2025-02</v>
      </c>
      <c r="C43" s="2" t="str">
        <f>Dummy_Variables!C43</f>
        <v>East</v>
      </c>
      <c r="D43" s="2" t="str">
        <f>Dummy_Variables!D43</f>
        <v>Mall</v>
      </c>
      <c r="E43" s="7">
        <f>Dummy_Variables!E43</f>
        <v>532644.46</v>
      </c>
      <c r="F43" s="7">
        <f>Dummy_Variables!F43</f>
        <v>46123.88</v>
      </c>
      <c r="G43" s="7">
        <f>Dummy_Variables!G43</f>
        <v>3227</v>
      </c>
      <c r="H43" s="7">
        <f>Dummy_Variables!H43</f>
        <v>0.14299999999999999</v>
      </c>
      <c r="I43" s="7">
        <f>Dummy_Variables!I43</f>
        <v>10</v>
      </c>
      <c r="J43" s="7">
        <f>Dummy_Variables!J43</f>
        <v>75.400000000000006</v>
      </c>
      <c r="K43" s="2">
        <f>Dummy_Variables!K43</f>
        <v>0</v>
      </c>
      <c r="L43" s="7">
        <f>Dummy_Variables!L43</f>
        <v>4.4000000000000004</v>
      </c>
      <c r="M43" s="2">
        <f>Dummy_Variables!M43</f>
        <v>0</v>
      </c>
      <c r="N43" s="2">
        <f>Dummy_Variables!N43</f>
        <v>0</v>
      </c>
      <c r="O43" s="2">
        <f>Dummy_Variables!O43</f>
        <v>1</v>
      </c>
      <c r="P43" s="7">
        <f t="shared" si="0"/>
        <v>531112.60080808878</v>
      </c>
      <c r="Q43" s="7">
        <f t="shared" si="1"/>
        <v>1531.8591919111786</v>
      </c>
      <c r="R43" s="7">
        <f t="shared" si="2"/>
        <v>1531.8591919111786</v>
      </c>
      <c r="S43" s="2" t="str">
        <f t="shared" si="3"/>
        <v>Positive residual - actual above prediction</v>
      </c>
      <c r="T43" s="2"/>
      <c r="U43" s="2"/>
      <c r="V43" s="2"/>
    </row>
    <row r="44" spans="1:22" x14ac:dyDescent="0.35">
      <c r="A44" s="2" t="str">
        <f>Dummy_Variables!A44</f>
        <v>STR-1011</v>
      </c>
      <c r="B44" s="2" t="str">
        <f>Dummy_Variables!B44</f>
        <v>2025-03</v>
      </c>
      <c r="C44" s="2" t="str">
        <f>Dummy_Variables!C44</f>
        <v>East</v>
      </c>
      <c r="D44" s="2" t="str">
        <f>Dummy_Variables!D44</f>
        <v>Mall</v>
      </c>
      <c r="E44" s="7">
        <f>Dummy_Variables!E44</f>
        <v>657429.18000000005</v>
      </c>
      <c r="F44" s="7">
        <f>Dummy_Variables!F44</f>
        <v>68077.539999999994</v>
      </c>
      <c r="G44" s="7">
        <f>Dummy_Variables!G44</f>
        <v>3360</v>
      </c>
      <c r="H44" s="7">
        <f>Dummy_Variables!H44</f>
        <v>0.128</v>
      </c>
      <c r="I44" s="7">
        <f>Dummy_Variables!I44</f>
        <v>14</v>
      </c>
      <c r="J44" s="7">
        <f>Dummy_Variables!J44</f>
        <v>88.2</v>
      </c>
      <c r="K44" s="2">
        <f>Dummy_Variables!K44</f>
        <v>1</v>
      </c>
      <c r="L44" s="7">
        <f>Dummy_Variables!L44</f>
        <v>4</v>
      </c>
      <c r="M44" s="2">
        <f>Dummy_Variables!M44</f>
        <v>0</v>
      </c>
      <c r="N44" s="2">
        <f>Dummy_Variables!N44</f>
        <v>0</v>
      </c>
      <c r="O44" s="2">
        <f>Dummy_Variables!O44</f>
        <v>1</v>
      </c>
      <c r="P44" s="7">
        <f t="shared" si="0"/>
        <v>617887.49053066585</v>
      </c>
      <c r="Q44" s="7">
        <f t="shared" si="1"/>
        <v>39541.689469334204</v>
      </c>
      <c r="R44" s="7">
        <f t="shared" si="2"/>
        <v>39541.689469334204</v>
      </c>
      <c r="S44" s="2" t="str">
        <f t="shared" si="3"/>
        <v>Positive residual - actual above prediction</v>
      </c>
      <c r="T44" s="2"/>
      <c r="U44" s="2"/>
      <c r="V44" s="2"/>
    </row>
    <row r="45" spans="1:22" x14ac:dyDescent="0.35">
      <c r="A45" s="2" t="str">
        <f>Dummy_Variables!A45</f>
        <v>STR-1011</v>
      </c>
      <c r="B45" s="2" t="str">
        <f>Dummy_Variables!B45</f>
        <v>2025-04</v>
      </c>
      <c r="C45" s="2" t="str">
        <f>Dummy_Variables!C45</f>
        <v>East</v>
      </c>
      <c r="D45" s="2" t="str">
        <f>Dummy_Variables!D45</f>
        <v>Mall</v>
      </c>
      <c r="E45" s="7">
        <f>Dummy_Variables!E45</f>
        <v>605178</v>
      </c>
      <c r="F45" s="7">
        <f>Dummy_Variables!F45</f>
        <v>64882.14</v>
      </c>
      <c r="G45" s="7">
        <f>Dummy_Variables!G45</f>
        <v>3642</v>
      </c>
      <c r="H45" s="7">
        <f>Dummy_Variables!H45</f>
        <v>1.9E-2</v>
      </c>
      <c r="I45" s="7">
        <f>Dummy_Variables!I45</f>
        <v>13</v>
      </c>
      <c r="J45" s="7">
        <f>Dummy_Variables!J45</f>
        <v>87.8</v>
      </c>
      <c r="K45" s="2">
        <f>Dummy_Variables!K45</f>
        <v>0</v>
      </c>
      <c r="L45" s="7">
        <f>Dummy_Variables!L45</f>
        <v>4.2</v>
      </c>
      <c r="M45" s="2">
        <f>Dummy_Variables!M45</f>
        <v>0</v>
      </c>
      <c r="N45" s="2">
        <f>Dummy_Variables!N45</f>
        <v>0</v>
      </c>
      <c r="O45" s="2">
        <f>Dummy_Variables!O45</f>
        <v>1</v>
      </c>
      <c r="P45" s="7">
        <f t="shared" si="0"/>
        <v>615967.99540301342</v>
      </c>
      <c r="Q45" s="7">
        <f t="shared" si="1"/>
        <v>-10789.995403013425</v>
      </c>
      <c r="R45" s="7">
        <f t="shared" si="2"/>
        <v>10789.995403013425</v>
      </c>
      <c r="S45" s="2" t="str">
        <f t="shared" si="3"/>
        <v>Negative residual - actual below prediction</v>
      </c>
      <c r="T45" s="2"/>
      <c r="U45" s="2"/>
      <c r="V45" s="2"/>
    </row>
    <row r="46" spans="1:22" x14ac:dyDescent="0.35">
      <c r="A46" s="2" t="str">
        <f>Dummy_Variables!A46</f>
        <v>STR-1012</v>
      </c>
      <c r="B46" s="2" t="str">
        <f>Dummy_Variables!B46</f>
        <v>2025-01</v>
      </c>
      <c r="C46" s="2" t="str">
        <f>Dummy_Variables!C46</f>
        <v>West</v>
      </c>
      <c r="D46" s="2" t="str">
        <f>Dummy_Variables!D46</f>
        <v>Residential</v>
      </c>
      <c r="E46" s="7">
        <f>Dummy_Variables!E46</f>
        <v>595467.6</v>
      </c>
      <c r="F46" s="7">
        <f>Dummy_Variables!F46</f>
        <v>138855.51</v>
      </c>
      <c r="G46" s="7">
        <f>Dummy_Variables!G46</f>
        <v>5145</v>
      </c>
      <c r="H46" s="7">
        <f>Dummy_Variables!H46</f>
        <v>0.06</v>
      </c>
      <c r="I46" s="7">
        <f>Dummy_Variables!I46</f>
        <v>17</v>
      </c>
      <c r="J46" s="7">
        <f>Dummy_Variables!J46</f>
        <v>88.2</v>
      </c>
      <c r="K46" s="2">
        <f>Dummy_Variables!K46</f>
        <v>0</v>
      </c>
      <c r="L46" s="7">
        <f>Dummy_Variables!L46</f>
        <v>3.2</v>
      </c>
      <c r="M46" s="2">
        <f>Dummy_Variables!M46</f>
        <v>0</v>
      </c>
      <c r="N46" s="2">
        <f>Dummy_Variables!N46</f>
        <v>0</v>
      </c>
      <c r="O46" s="2">
        <f>Dummy_Variables!O46</f>
        <v>0</v>
      </c>
      <c r="P46" s="7">
        <f t="shared" si="0"/>
        <v>714059.68281343696</v>
      </c>
      <c r="Q46" s="7">
        <f t="shared" si="1"/>
        <v>-118592.08281343698</v>
      </c>
      <c r="R46" s="7">
        <f t="shared" si="2"/>
        <v>118592.08281343698</v>
      </c>
      <c r="S46" s="2" t="str">
        <f t="shared" si="3"/>
        <v>Negative residual - actual below prediction</v>
      </c>
      <c r="T46" s="2"/>
      <c r="U46" s="2"/>
      <c r="V46" s="2"/>
    </row>
    <row r="47" spans="1:22" x14ac:dyDescent="0.35">
      <c r="A47" s="2" t="str">
        <f>Dummy_Variables!A47</f>
        <v>STR-1012</v>
      </c>
      <c r="B47" s="2" t="str">
        <f>Dummy_Variables!B47</f>
        <v>2025-02</v>
      </c>
      <c r="C47" s="2" t="str">
        <f>Dummy_Variables!C47</f>
        <v>West</v>
      </c>
      <c r="D47" s="2" t="str">
        <f>Dummy_Variables!D47</f>
        <v>Residential</v>
      </c>
      <c r="E47" s="7">
        <f>Dummy_Variables!E47</f>
        <v>599603.4</v>
      </c>
      <c r="F47" s="7">
        <f>Dummy_Variables!F47</f>
        <v>63630.21</v>
      </c>
      <c r="G47" s="7">
        <f>Dummy_Variables!G47</f>
        <v>4460</v>
      </c>
      <c r="H47" s="7">
        <f>Dummy_Variables!H47</f>
        <v>0.23499999999999999</v>
      </c>
      <c r="I47" s="7">
        <f>Dummy_Variables!I47</f>
        <v>14</v>
      </c>
      <c r="J47" s="7">
        <f>Dummy_Variables!J47</f>
        <v>98.6</v>
      </c>
      <c r="K47" s="2">
        <f>Dummy_Variables!K47</f>
        <v>0</v>
      </c>
      <c r="L47" s="7">
        <f>Dummy_Variables!L47</f>
        <v>3.5</v>
      </c>
      <c r="M47" s="2">
        <f>Dummy_Variables!M47</f>
        <v>0</v>
      </c>
      <c r="N47" s="2">
        <f>Dummy_Variables!N47</f>
        <v>0</v>
      </c>
      <c r="O47" s="2">
        <f>Dummy_Variables!O47</f>
        <v>0</v>
      </c>
      <c r="P47" s="7">
        <f t="shared" si="0"/>
        <v>622960.22765896237</v>
      </c>
      <c r="Q47" s="7">
        <f t="shared" si="1"/>
        <v>-23356.827658962342</v>
      </c>
      <c r="R47" s="7">
        <f t="shared" si="2"/>
        <v>23356.827658962342</v>
      </c>
      <c r="S47" s="2" t="str">
        <f t="shared" si="3"/>
        <v>Negative residual - actual below prediction</v>
      </c>
      <c r="T47" s="2"/>
      <c r="U47" s="2"/>
      <c r="V47" s="2"/>
    </row>
    <row r="48" spans="1:22" x14ac:dyDescent="0.35">
      <c r="A48" s="2" t="str">
        <f>Dummy_Variables!A48</f>
        <v>STR-1012</v>
      </c>
      <c r="B48" s="2" t="str">
        <f>Dummy_Variables!B48</f>
        <v>2025-03</v>
      </c>
      <c r="C48" s="2" t="str">
        <f>Dummy_Variables!C48</f>
        <v>West</v>
      </c>
      <c r="D48" s="2" t="str">
        <f>Dummy_Variables!D48</f>
        <v>Residential</v>
      </c>
      <c r="E48" s="7">
        <f>Dummy_Variables!E48</f>
        <v>614800.09</v>
      </c>
      <c r="F48" s="7">
        <f>Dummy_Variables!F48</f>
        <v>50043.65</v>
      </c>
      <c r="G48" s="7">
        <f>Dummy_Variables!G48</f>
        <v>3804</v>
      </c>
      <c r="H48" s="7">
        <f>Dummy_Variables!H48</f>
        <v>0.113</v>
      </c>
      <c r="I48" s="7">
        <f>Dummy_Variables!I48</f>
        <v>11</v>
      </c>
      <c r="J48" s="7">
        <f>Dummy_Variables!J48</f>
        <v>90.9</v>
      </c>
      <c r="K48" s="2">
        <f>Dummy_Variables!K48</f>
        <v>1</v>
      </c>
      <c r="L48" s="7">
        <f>Dummy_Variables!L48</f>
        <v>3.2</v>
      </c>
      <c r="M48" s="2">
        <f>Dummy_Variables!M48</f>
        <v>0</v>
      </c>
      <c r="N48" s="2">
        <f>Dummy_Variables!N48</f>
        <v>0</v>
      </c>
      <c r="O48" s="2">
        <f>Dummy_Variables!O48</f>
        <v>0</v>
      </c>
      <c r="P48" s="7">
        <f t="shared" si="0"/>
        <v>572906.64095451485</v>
      </c>
      <c r="Q48" s="7">
        <f t="shared" si="1"/>
        <v>41893.449045485118</v>
      </c>
      <c r="R48" s="7">
        <f t="shared" si="2"/>
        <v>41893.449045485118</v>
      </c>
      <c r="S48" s="2" t="str">
        <f t="shared" si="3"/>
        <v>Positive residual - actual above prediction</v>
      </c>
      <c r="T48" s="2"/>
      <c r="U48" s="2"/>
      <c r="V48" s="2"/>
    </row>
    <row r="49" spans="1:22" x14ac:dyDescent="0.35">
      <c r="A49" s="2" t="str">
        <f>Dummy_Variables!A49</f>
        <v>STR-1012</v>
      </c>
      <c r="B49" s="2" t="str">
        <f>Dummy_Variables!B49</f>
        <v>2025-04</v>
      </c>
      <c r="C49" s="2" t="str">
        <f>Dummy_Variables!C49</f>
        <v>West</v>
      </c>
      <c r="D49" s="2" t="str">
        <f>Dummy_Variables!D49</f>
        <v>Residential</v>
      </c>
      <c r="E49" s="7">
        <f>Dummy_Variables!E49</f>
        <v>585365.73</v>
      </c>
      <c r="F49" s="7">
        <f>Dummy_Variables!F49</f>
        <v>42093.84</v>
      </c>
      <c r="G49" s="7">
        <f>Dummy_Variables!G49</f>
        <v>4074</v>
      </c>
      <c r="H49" s="7">
        <f>Dummy_Variables!H49</f>
        <v>0.155</v>
      </c>
      <c r="I49" s="7">
        <f>Dummy_Variables!I49</f>
        <v>15</v>
      </c>
      <c r="J49" s="7">
        <f>Dummy_Variables!J49</f>
        <v>88</v>
      </c>
      <c r="K49" s="2">
        <f>Dummy_Variables!K49</f>
        <v>0</v>
      </c>
      <c r="L49" s="7">
        <f>Dummy_Variables!L49</f>
        <v>3.3</v>
      </c>
      <c r="M49" s="2">
        <f>Dummy_Variables!M49</f>
        <v>0</v>
      </c>
      <c r="N49" s="2">
        <f>Dummy_Variables!N49</f>
        <v>0</v>
      </c>
      <c r="O49" s="2">
        <f>Dummy_Variables!O49</f>
        <v>0</v>
      </c>
      <c r="P49" s="7">
        <f t="shared" si="0"/>
        <v>560565.70035832119</v>
      </c>
      <c r="Q49" s="7">
        <f t="shared" si="1"/>
        <v>24800.02964167879</v>
      </c>
      <c r="R49" s="7">
        <f t="shared" si="2"/>
        <v>24800.02964167879</v>
      </c>
      <c r="S49" s="2" t="str">
        <f t="shared" si="3"/>
        <v>Positive residual - actual above prediction</v>
      </c>
      <c r="T49" s="2"/>
      <c r="U49" s="2"/>
      <c r="V49" s="2"/>
    </row>
    <row r="50" spans="1:22" x14ac:dyDescent="0.35">
      <c r="A50" s="2" t="str">
        <f>Dummy_Variables!A50</f>
        <v>STR-1013</v>
      </c>
      <c r="B50" s="2" t="str">
        <f>Dummy_Variables!B50</f>
        <v>2025-01</v>
      </c>
      <c r="C50" s="2" t="str">
        <f>Dummy_Variables!C50</f>
        <v>North</v>
      </c>
      <c r="D50" s="2" t="str">
        <f>Dummy_Variables!D50</f>
        <v>Mall</v>
      </c>
      <c r="E50" s="7">
        <f>Dummy_Variables!E50</f>
        <v>622811.74</v>
      </c>
      <c r="F50" s="7">
        <f>Dummy_Variables!F50</f>
        <v>46624.05</v>
      </c>
      <c r="G50" s="7">
        <f>Dummy_Variables!G50</f>
        <v>5104</v>
      </c>
      <c r="H50" s="7">
        <f>Dummy_Variables!H50</f>
        <v>0.109</v>
      </c>
      <c r="I50" s="7">
        <f>Dummy_Variables!I50</f>
        <v>11</v>
      </c>
      <c r="J50" s="7">
        <f>Dummy_Variables!J50</f>
        <v>97.3</v>
      </c>
      <c r="K50" s="2">
        <f>Dummy_Variables!K50</f>
        <v>1</v>
      </c>
      <c r="L50" s="7">
        <f>Dummy_Variables!L50</f>
        <v>4.7</v>
      </c>
      <c r="M50" s="2">
        <f>Dummy_Variables!M50</f>
        <v>0</v>
      </c>
      <c r="N50" s="2">
        <f>Dummy_Variables!N50</f>
        <v>0</v>
      </c>
      <c r="O50" s="2">
        <f>Dummy_Variables!O50</f>
        <v>1</v>
      </c>
      <c r="P50" s="7">
        <f t="shared" si="0"/>
        <v>671945.66537128552</v>
      </c>
      <c r="Q50" s="7">
        <f t="shared" si="1"/>
        <v>-49133.925371285528</v>
      </c>
      <c r="R50" s="7">
        <f t="shared" si="2"/>
        <v>49133.925371285528</v>
      </c>
      <c r="S50" s="2" t="str">
        <f t="shared" si="3"/>
        <v>Negative residual - actual below prediction</v>
      </c>
      <c r="T50" s="2"/>
      <c r="U50" s="2"/>
      <c r="V50" s="2"/>
    </row>
    <row r="51" spans="1:22" x14ac:dyDescent="0.35">
      <c r="A51" s="2" t="str">
        <f>Dummy_Variables!A51</f>
        <v>STR-1013</v>
      </c>
      <c r="B51" s="2" t="str">
        <f>Dummy_Variables!B51</f>
        <v>2025-02</v>
      </c>
      <c r="C51" s="2" t="str">
        <f>Dummy_Variables!C51</f>
        <v>North</v>
      </c>
      <c r="D51" s="2" t="str">
        <f>Dummy_Variables!D51</f>
        <v>Mall</v>
      </c>
      <c r="E51" s="7">
        <f>Dummy_Variables!E51</f>
        <v>603297.56999999995</v>
      </c>
      <c r="F51" s="7">
        <f>Dummy_Variables!F51</f>
        <v>49710.29</v>
      </c>
      <c r="G51" s="7">
        <f>Dummy_Variables!G51</f>
        <v>5559</v>
      </c>
      <c r="H51" s="7">
        <f>Dummy_Variables!H51</f>
        <v>0.218</v>
      </c>
      <c r="I51" s="7">
        <f>Dummy_Variables!I51</f>
        <v>14</v>
      </c>
      <c r="J51" s="7">
        <f>Dummy_Variables!J51</f>
        <v>71</v>
      </c>
      <c r="K51" s="2">
        <f>Dummy_Variables!K51</f>
        <v>0</v>
      </c>
      <c r="L51" s="7">
        <f>Dummy_Variables!L51</f>
        <v>4.5999999999999996</v>
      </c>
      <c r="M51" s="2">
        <f>Dummy_Variables!M51</f>
        <v>0</v>
      </c>
      <c r="N51" s="2">
        <f>Dummy_Variables!N51</f>
        <v>0</v>
      </c>
      <c r="O51" s="2">
        <f>Dummy_Variables!O51</f>
        <v>1</v>
      </c>
      <c r="P51" s="7">
        <f t="shared" si="0"/>
        <v>597250.26073402422</v>
      </c>
      <c r="Q51" s="7">
        <f t="shared" si="1"/>
        <v>6047.309265975724</v>
      </c>
      <c r="R51" s="7">
        <f t="shared" si="2"/>
        <v>6047.309265975724</v>
      </c>
      <c r="S51" s="2" t="str">
        <f t="shared" si="3"/>
        <v>Positive residual - actual above prediction</v>
      </c>
      <c r="T51" s="2"/>
      <c r="U51" s="2"/>
      <c r="V51" s="2"/>
    </row>
    <row r="52" spans="1:22" x14ac:dyDescent="0.35">
      <c r="A52" s="2" t="str">
        <f>Dummy_Variables!A52</f>
        <v>STR-1013</v>
      </c>
      <c r="B52" s="2" t="str">
        <f>Dummy_Variables!B52</f>
        <v>2025-03</v>
      </c>
      <c r="C52" s="2" t="str">
        <f>Dummy_Variables!C52</f>
        <v>North</v>
      </c>
      <c r="D52" s="2" t="str">
        <f>Dummy_Variables!D52</f>
        <v>Mall</v>
      </c>
      <c r="E52" s="7">
        <f>Dummy_Variables!E52</f>
        <v>625672.86</v>
      </c>
      <c r="F52" s="7">
        <f>Dummy_Variables!F52</f>
        <v>48287.85</v>
      </c>
      <c r="G52" s="7">
        <f>Dummy_Variables!G52</f>
        <v>5150</v>
      </c>
      <c r="H52" s="7">
        <f>Dummy_Variables!H52</f>
        <v>8.0000000000000002E-3</v>
      </c>
      <c r="I52" s="7">
        <f>Dummy_Variables!I52</f>
        <v>12</v>
      </c>
      <c r="J52" s="7">
        <f>Dummy_Variables!J52</f>
        <v>80.400000000000006</v>
      </c>
      <c r="K52" s="2">
        <f>Dummy_Variables!K52</f>
        <v>0</v>
      </c>
      <c r="L52" s="7">
        <f>Dummy_Variables!L52</f>
        <v>4.5</v>
      </c>
      <c r="M52" s="2">
        <f>Dummy_Variables!M52</f>
        <v>0</v>
      </c>
      <c r="N52" s="2">
        <f>Dummy_Variables!N52</f>
        <v>0</v>
      </c>
      <c r="O52" s="2">
        <f>Dummy_Variables!O52</f>
        <v>1</v>
      </c>
      <c r="P52" s="7">
        <f t="shared" si="0"/>
        <v>619101.93917589705</v>
      </c>
      <c r="Q52" s="7">
        <f t="shared" si="1"/>
        <v>6570.920824102941</v>
      </c>
      <c r="R52" s="7">
        <f t="shared" si="2"/>
        <v>6570.920824102941</v>
      </c>
      <c r="S52" s="2" t="str">
        <f t="shared" si="3"/>
        <v>Positive residual - actual above prediction</v>
      </c>
      <c r="T52" s="2"/>
      <c r="U52" s="2"/>
      <c r="V52" s="2"/>
    </row>
    <row r="53" spans="1:22" x14ac:dyDescent="0.35">
      <c r="A53" s="2" t="str">
        <f>Dummy_Variables!A53</f>
        <v>STR-1013</v>
      </c>
      <c r="B53" s="2" t="str">
        <f>Dummy_Variables!B53</f>
        <v>2025-04</v>
      </c>
      <c r="C53" s="2" t="str">
        <f>Dummy_Variables!C53</f>
        <v>North</v>
      </c>
      <c r="D53" s="2" t="str">
        <f>Dummy_Variables!D53</f>
        <v>Mall</v>
      </c>
      <c r="E53" s="7">
        <f>Dummy_Variables!E53</f>
        <v>773815.14</v>
      </c>
      <c r="F53" s="7">
        <f>Dummy_Variables!F53</f>
        <v>65312.49</v>
      </c>
      <c r="G53" s="7">
        <f>Dummy_Variables!G53</f>
        <v>7189</v>
      </c>
      <c r="H53" s="7">
        <f>Dummy_Variables!H53</f>
        <v>0.05</v>
      </c>
      <c r="I53" s="7">
        <f>Dummy_Variables!I53</f>
        <v>19</v>
      </c>
      <c r="J53" s="7">
        <f>Dummy_Variables!J53</f>
        <v>93.7</v>
      </c>
      <c r="K53" s="2">
        <f>Dummy_Variables!K53</f>
        <v>0</v>
      </c>
      <c r="L53" s="7">
        <f>Dummy_Variables!L53</f>
        <v>4.5999999999999996</v>
      </c>
      <c r="M53" s="2">
        <f>Dummy_Variables!M53</f>
        <v>0</v>
      </c>
      <c r="N53" s="2">
        <f>Dummy_Variables!N53</f>
        <v>0</v>
      </c>
      <c r="O53" s="2">
        <f>Dummy_Variables!O53</f>
        <v>1</v>
      </c>
      <c r="P53" s="7">
        <f t="shared" si="0"/>
        <v>755166.00535947306</v>
      </c>
      <c r="Q53" s="7">
        <f t="shared" si="1"/>
        <v>18649.134640526958</v>
      </c>
      <c r="R53" s="7">
        <f t="shared" si="2"/>
        <v>18649.134640526958</v>
      </c>
      <c r="S53" s="2" t="str">
        <f t="shared" si="3"/>
        <v>Positive residual - actual above prediction</v>
      </c>
      <c r="T53" s="2"/>
      <c r="U53" s="2"/>
      <c r="V53" s="2"/>
    </row>
    <row r="54" spans="1:22" x14ac:dyDescent="0.35">
      <c r="A54" s="2" t="str">
        <f>Dummy_Variables!A54</f>
        <v>STR-1014</v>
      </c>
      <c r="B54" s="2" t="str">
        <f>Dummy_Variables!B54</f>
        <v>2025-01</v>
      </c>
      <c r="C54" s="2" t="str">
        <f>Dummy_Variables!C54</f>
        <v>West</v>
      </c>
      <c r="D54" s="2" t="str">
        <f>Dummy_Variables!D54</f>
        <v>High Street</v>
      </c>
      <c r="E54" s="7">
        <f>Dummy_Variables!E54</f>
        <v>463534.25</v>
      </c>
      <c r="F54" s="7">
        <f>Dummy_Variables!F54</f>
        <v>53015.46</v>
      </c>
      <c r="G54" s="7">
        <f>Dummy_Variables!G54</f>
        <v>3279</v>
      </c>
      <c r="H54" s="7">
        <f>Dummy_Variables!H54</f>
        <v>8.6999999999999994E-2</v>
      </c>
      <c r="I54" s="7">
        <f>Dummy_Variables!I54</f>
        <v>9</v>
      </c>
      <c r="J54" s="7">
        <f>Dummy_Variables!J54</f>
        <v>84.3</v>
      </c>
      <c r="K54" s="2">
        <f>Dummy_Variables!K54</f>
        <v>0</v>
      </c>
      <c r="L54" s="7">
        <f>Dummy_Variables!L54</f>
        <v>3.9</v>
      </c>
      <c r="M54" s="2">
        <f>Dummy_Variables!M54</f>
        <v>0</v>
      </c>
      <c r="N54" s="2">
        <f>Dummy_Variables!N54</f>
        <v>1</v>
      </c>
      <c r="O54" s="2">
        <f>Dummy_Variables!O54</f>
        <v>0</v>
      </c>
      <c r="P54" s="7">
        <f t="shared" si="0"/>
        <v>552693.77098056767</v>
      </c>
      <c r="Q54" s="7">
        <f t="shared" si="1"/>
        <v>-89159.520980567671</v>
      </c>
      <c r="R54" s="7">
        <f t="shared" si="2"/>
        <v>89159.520980567671</v>
      </c>
      <c r="S54" s="2" t="str">
        <f t="shared" si="3"/>
        <v>Negative residual - actual below prediction</v>
      </c>
      <c r="T54" s="2"/>
      <c r="U54" s="2"/>
      <c r="V54" s="2"/>
    </row>
    <row r="55" spans="1:22" x14ac:dyDescent="0.35">
      <c r="A55" s="2" t="str">
        <f>Dummy_Variables!A55</f>
        <v>STR-1014</v>
      </c>
      <c r="B55" s="2" t="str">
        <f>Dummy_Variables!B55</f>
        <v>2025-02</v>
      </c>
      <c r="C55" s="2" t="str">
        <f>Dummy_Variables!C55</f>
        <v>West</v>
      </c>
      <c r="D55" s="2" t="str">
        <f>Dummy_Variables!D55</f>
        <v>High Street</v>
      </c>
      <c r="E55" s="7">
        <f>Dummy_Variables!E55</f>
        <v>746677.75</v>
      </c>
      <c r="F55" s="7">
        <f>Dummy_Variables!F55</f>
        <v>99874.01</v>
      </c>
      <c r="G55" s="7">
        <f>Dummy_Variables!G55</f>
        <v>5887</v>
      </c>
      <c r="H55" s="7">
        <f>Dummy_Variables!H55</f>
        <v>0.26200000000000001</v>
      </c>
      <c r="I55" s="7">
        <f>Dummy_Variables!I55</f>
        <v>14</v>
      </c>
      <c r="J55" s="7">
        <f>Dummy_Variables!J55</f>
        <v>88.7</v>
      </c>
      <c r="K55" s="2">
        <f>Dummy_Variables!K55</f>
        <v>0</v>
      </c>
      <c r="L55" s="7">
        <f>Dummy_Variables!L55</f>
        <v>4.7</v>
      </c>
      <c r="M55" s="2">
        <f>Dummy_Variables!M55</f>
        <v>0</v>
      </c>
      <c r="N55" s="2">
        <f>Dummy_Variables!N55</f>
        <v>1</v>
      </c>
      <c r="O55" s="2">
        <f>Dummy_Variables!O55</f>
        <v>0</v>
      </c>
      <c r="P55" s="7">
        <f t="shared" si="0"/>
        <v>707352.9383755452</v>
      </c>
      <c r="Q55" s="7">
        <f t="shared" si="1"/>
        <v>39324.8116244548</v>
      </c>
      <c r="R55" s="7">
        <f t="shared" si="2"/>
        <v>39324.8116244548</v>
      </c>
      <c r="S55" s="2" t="str">
        <f t="shared" si="3"/>
        <v>Positive residual - actual above prediction</v>
      </c>
      <c r="T55" s="2"/>
      <c r="U55" s="2"/>
      <c r="V55" s="2"/>
    </row>
    <row r="56" spans="1:22" x14ac:dyDescent="0.35">
      <c r="A56" s="2" t="str">
        <f>Dummy_Variables!A56</f>
        <v>STR-1014</v>
      </c>
      <c r="B56" s="2" t="str">
        <f>Dummy_Variables!B56</f>
        <v>2025-03</v>
      </c>
      <c r="C56" s="2" t="str">
        <f>Dummy_Variables!C56</f>
        <v>West</v>
      </c>
      <c r="D56" s="2" t="str">
        <f>Dummy_Variables!D56</f>
        <v>High Street</v>
      </c>
      <c r="E56" s="7">
        <f>Dummy_Variables!E56</f>
        <v>720852.5</v>
      </c>
      <c r="F56" s="7">
        <f>Dummy_Variables!F56</f>
        <v>81195.5</v>
      </c>
      <c r="G56" s="7">
        <f>Dummy_Variables!G56</f>
        <v>5516</v>
      </c>
      <c r="H56" s="7">
        <f>Dummy_Variables!H56</f>
        <v>0.106</v>
      </c>
      <c r="I56" s="7">
        <f>Dummy_Variables!I56</f>
        <v>14</v>
      </c>
      <c r="J56" s="7">
        <f>Dummy_Variables!J56</f>
        <v>88</v>
      </c>
      <c r="K56" s="2">
        <f>Dummy_Variables!K56</f>
        <v>0</v>
      </c>
      <c r="L56" s="7">
        <f>Dummy_Variables!L56</f>
        <v>4.3</v>
      </c>
      <c r="M56" s="2">
        <f>Dummy_Variables!M56</f>
        <v>0</v>
      </c>
      <c r="N56" s="2">
        <f>Dummy_Variables!N56</f>
        <v>1</v>
      </c>
      <c r="O56" s="2">
        <f>Dummy_Variables!O56</f>
        <v>0</v>
      </c>
      <c r="P56" s="7">
        <f t="shared" si="0"/>
        <v>678086.87694189709</v>
      </c>
      <c r="Q56" s="7">
        <f t="shared" si="1"/>
        <v>42765.623058102909</v>
      </c>
      <c r="R56" s="7">
        <f t="shared" si="2"/>
        <v>42765.623058102909</v>
      </c>
      <c r="S56" s="2" t="str">
        <f t="shared" si="3"/>
        <v>Positive residual - actual above prediction</v>
      </c>
      <c r="T56" s="2"/>
      <c r="U56" s="2"/>
      <c r="V56" s="2"/>
    </row>
    <row r="57" spans="1:22" x14ac:dyDescent="0.35">
      <c r="A57" s="2" t="str">
        <f>Dummy_Variables!A57</f>
        <v>STR-1014</v>
      </c>
      <c r="B57" s="2" t="str">
        <f>Dummy_Variables!B57</f>
        <v>2025-04</v>
      </c>
      <c r="C57" s="2" t="str">
        <f>Dummy_Variables!C57</f>
        <v>West</v>
      </c>
      <c r="D57" s="2" t="str">
        <f>Dummy_Variables!D57</f>
        <v>High Street</v>
      </c>
      <c r="E57" s="7">
        <f>Dummy_Variables!E57</f>
        <v>487464.91</v>
      </c>
      <c r="F57" s="7">
        <f>Dummy_Variables!F57</f>
        <v>27808.6</v>
      </c>
      <c r="G57" s="7">
        <f>Dummy_Variables!G57</f>
        <v>2863</v>
      </c>
      <c r="H57" s="7">
        <f>Dummy_Variables!H57</f>
        <v>0.08</v>
      </c>
      <c r="I57" s="7">
        <f>Dummy_Variables!I57</f>
        <v>13</v>
      </c>
      <c r="J57" s="7">
        <f>Dummy_Variables!J57</f>
        <v>89.3</v>
      </c>
      <c r="K57" s="2">
        <f>Dummy_Variables!K57</f>
        <v>0</v>
      </c>
      <c r="L57" s="7">
        <f>Dummy_Variables!L57</f>
        <v>4.0999999999999996</v>
      </c>
      <c r="M57" s="2">
        <f>Dummy_Variables!M57</f>
        <v>0</v>
      </c>
      <c r="N57" s="2">
        <f>Dummy_Variables!N57</f>
        <v>1</v>
      </c>
      <c r="O57" s="2">
        <f>Dummy_Variables!O57</f>
        <v>0</v>
      </c>
      <c r="P57" s="7">
        <f t="shared" si="0"/>
        <v>541156.40161690814</v>
      </c>
      <c r="Q57" s="7">
        <f t="shared" si="1"/>
        <v>-53691.49161690817</v>
      </c>
      <c r="R57" s="7">
        <f t="shared" si="2"/>
        <v>53691.49161690817</v>
      </c>
      <c r="S57" s="2" t="str">
        <f t="shared" si="3"/>
        <v>Negative residual - actual below prediction</v>
      </c>
      <c r="T57" s="2"/>
      <c r="U57" s="2"/>
      <c r="V57" s="2"/>
    </row>
    <row r="58" spans="1:22" x14ac:dyDescent="0.35">
      <c r="A58" s="2" t="str">
        <f>Dummy_Variables!A58</f>
        <v>STR-1015</v>
      </c>
      <c r="B58" s="2" t="str">
        <f>Dummy_Variables!B58</f>
        <v>2025-01</v>
      </c>
      <c r="C58" s="2" t="str">
        <f>Dummy_Variables!C58</f>
        <v>East</v>
      </c>
      <c r="D58" s="2" t="str">
        <f>Dummy_Variables!D58</f>
        <v>Airport</v>
      </c>
      <c r="E58" s="7">
        <f>Dummy_Variables!E58</f>
        <v>518049.26</v>
      </c>
      <c r="F58" s="7">
        <f>Dummy_Variables!F58</f>
        <v>19365.060000000001</v>
      </c>
      <c r="G58" s="7">
        <f>Dummy_Variables!G58</f>
        <v>2378</v>
      </c>
      <c r="H58" s="7">
        <f>Dummy_Variables!H58</f>
        <v>0</v>
      </c>
      <c r="I58" s="7">
        <f>Dummy_Variables!I58</f>
        <v>12</v>
      </c>
      <c r="J58" s="7">
        <f>Dummy_Variables!J58</f>
        <v>94.8</v>
      </c>
      <c r="K58" s="2">
        <f>Dummy_Variables!K58</f>
        <v>0</v>
      </c>
      <c r="L58" s="7">
        <f>Dummy_Variables!L58</f>
        <v>3.5</v>
      </c>
      <c r="M58" s="2">
        <f>Dummy_Variables!M58</f>
        <v>1</v>
      </c>
      <c r="N58" s="2">
        <f>Dummy_Variables!N58</f>
        <v>0</v>
      </c>
      <c r="O58" s="2">
        <f>Dummy_Variables!O58</f>
        <v>0</v>
      </c>
      <c r="P58" s="7">
        <f t="shared" si="0"/>
        <v>550053.91688024451</v>
      </c>
      <c r="Q58" s="7">
        <f t="shared" si="1"/>
        <v>-32004.656880244496</v>
      </c>
      <c r="R58" s="7">
        <f t="shared" si="2"/>
        <v>32004.656880244496</v>
      </c>
      <c r="S58" s="2" t="str">
        <f t="shared" si="3"/>
        <v>Negative residual - actual below prediction</v>
      </c>
      <c r="T58" s="2"/>
      <c r="U58" s="2"/>
      <c r="V58" s="2"/>
    </row>
    <row r="59" spans="1:22" x14ac:dyDescent="0.35">
      <c r="A59" s="2" t="str">
        <f>Dummy_Variables!A59</f>
        <v>STR-1015</v>
      </c>
      <c r="B59" s="2" t="str">
        <f>Dummy_Variables!B59</f>
        <v>2025-02</v>
      </c>
      <c r="C59" s="2" t="str">
        <f>Dummy_Variables!C59</f>
        <v>East</v>
      </c>
      <c r="D59" s="2" t="str">
        <f>Dummy_Variables!D59</f>
        <v>Airport</v>
      </c>
      <c r="E59" s="7">
        <f>Dummy_Variables!E59</f>
        <v>500298.48</v>
      </c>
      <c r="F59" s="7">
        <f>Dummy_Variables!F59</f>
        <v>59405.68</v>
      </c>
      <c r="G59" s="7">
        <f>Dummy_Variables!G59</f>
        <v>2515</v>
      </c>
      <c r="H59" s="7">
        <f>Dummy_Variables!H59</f>
        <v>3.9E-2</v>
      </c>
      <c r="I59" s="7">
        <f>Dummy_Variables!I59</f>
        <v>12</v>
      </c>
      <c r="J59" s="7">
        <f>Dummy_Variables!J59</f>
        <v>76</v>
      </c>
      <c r="K59" s="2">
        <f>Dummy_Variables!K59</f>
        <v>0</v>
      </c>
      <c r="L59" s="7">
        <f>Dummy_Variables!L59</f>
        <v>3.7</v>
      </c>
      <c r="M59" s="2">
        <f>Dummy_Variables!M59</f>
        <v>1</v>
      </c>
      <c r="N59" s="2">
        <f>Dummy_Variables!N59</f>
        <v>0</v>
      </c>
      <c r="O59" s="2">
        <f>Dummy_Variables!O59</f>
        <v>0</v>
      </c>
      <c r="P59" s="7">
        <f t="shared" si="0"/>
        <v>543607.58529252512</v>
      </c>
      <c r="Q59" s="7">
        <f t="shared" si="1"/>
        <v>-43309.105292525142</v>
      </c>
      <c r="R59" s="7">
        <f t="shared" si="2"/>
        <v>43309.105292525142</v>
      </c>
      <c r="S59" s="2" t="str">
        <f t="shared" si="3"/>
        <v>Negative residual - actual below prediction</v>
      </c>
      <c r="T59" s="2"/>
      <c r="U59" s="2"/>
      <c r="V59" s="2"/>
    </row>
    <row r="60" spans="1:22" x14ac:dyDescent="0.35">
      <c r="A60" s="2" t="str">
        <f>Dummy_Variables!A60</f>
        <v>STR-1015</v>
      </c>
      <c r="B60" s="2" t="str">
        <f>Dummy_Variables!B60</f>
        <v>2025-03</v>
      </c>
      <c r="C60" s="2" t="str">
        <f>Dummy_Variables!C60</f>
        <v>East</v>
      </c>
      <c r="D60" s="2" t="str">
        <f>Dummy_Variables!D60</f>
        <v>Airport</v>
      </c>
      <c r="E60" s="7">
        <f>Dummy_Variables!E60</f>
        <v>617291.15</v>
      </c>
      <c r="F60" s="7">
        <f>Dummy_Variables!F60</f>
        <v>118910.48</v>
      </c>
      <c r="G60" s="7">
        <f>Dummy_Variables!G60</f>
        <v>4022</v>
      </c>
      <c r="H60" s="7">
        <f>Dummy_Variables!H60</f>
        <v>0.13700000000000001</v>
      </c>
      <c r="I60" s="7">
        <f>Dummy_Variables!I60</f>
        <v>11</v>
      </c>
      <c r="J60" s="7">
        <f>Dummy_Variables!J60</f>
        <v>87.1</v>
      </c>
      <c r="K60" s="2">
        <f>Dummy_Variables!K60</f>
        <v>0</v>
      </c>
      <c r="L60" s="7">
        <f>Dummy_Variables!L60</f>
        <v>3.1</v>
      </c>
      <c r="M60" s="2">
        <f>Dummy_Variables!M60</f>
        <v>1</v>
      </c>
      <c r="N60" s="2">
        <f>Dummy_Variables!N60</f>
        <v>0</v>
      </c>
      <c r="O60" s="2">
        <f>Dummy_Variables!O60</f>
        <v>0</v>
      </c>
      <c r="P60" s="7">
        <f t="shared" si="0"/>
        <v>671694.49149215012</v>
      </c>
      <c r="Q60" s="7">
        <f t="shared" si="1"/>
        <v>-54403.341492150095</v>
      </c>
      <c r="R60" s="7">
        <f t="shared" si="2"/>
        <v>54403.341492150095</v>
      </c>
      <c r="S60" s="2" t="str">
        <f t="shared" si="3"/>
        <v>Negative residual - actual below prediction</v>
      </c>
      <c r="T60" s="2"/>
      <c r="U60" s="2"/>
      <c r="V60" s="2"/>
    </row>
    <row r="61" spans="1:22" x14ac:dyDescent="0.35">
      <c r="A61" s="2" t="str">
        <f>Dummy_Variables!A61</f>
        <v>STR-1015</v>
      </c>
      <c r="B61" s="2" t="str">
        <f>Dummy_Variables!B61</f>
        <v>2025-04</v>
      </c>
      <c r="C61" s="2" t="str">
        <f>Dummy_Variables!C61</f>
        <v>East</v>
      </c>
      <c r="D61" s="2" t="str">
        <f>Dummy_Variables!D61</f>
        <v>Airport</v>
      </c>
      <c r="E61" s="7">
        <f>Dummy_Variables!E61</f>
        <v>553756.43000000005</v>
      </c>
      <c r="F61" s="7">
        <f>Dummy_Variables!F61</f>
        <v>52952.12</v>
      </c>
      <c r="G61" s="7">
        <f>Dummy_Variables!G61</f>
        <v>4377</v>
      </c>
      <c r="H61" s="7">
        <f>Dummy_Variables!H61</f>
        <v>9.1999999999999998E-2</v>
      </c>
      <c r="I61" s="7">
        <f>Dummy_Variables!I61</f>
        <v>14</v>
      </c>
      <c r="J61" s="7">
        <f>Dummy_Variables!J61</f>
        <v>88.6</v>
      </c>
      <c r="K61" s="2">
        <f>Dummy_Variables!K61</f>
        <v>0</v>
      </c>
      <c r="L61" s="7">
        <f>Dummy_Variables!L61</f>
        <v>3.1</v>
      </c>
      <c r="M61" s="2">
        <f>Dummy_Variables!M61</f>
        <v>1</v>
      </c>
      <c r="N61" s="2">
        <f>Dummy_Variables!N61</f>
        <v>0</v>
      </c>
      <c r="O61" s="2">
        <f>Dummy_Variables!O61</f>
        <v>0</v>
      </c>
      <c r="P61" s="7">
        <f t="shared" si="0"/>
        <v>621436.08269261126</v>
      </c>
      <c r="Q61" s="7">
        <f t="shared" si="1"/>
        <v>-67679.652692611213</v>
      </c>
      <c r="R61" s="7">
        <f t="shared" si="2"/>
        <v>67679.652692611213</v>
      </c>
      <c r="S61" s="2" t="str">
        <f t="shared" si="3"/>
        <v>Negative residual - actual below prediction</v>
      </c>
      <c r="T61" s="2"/>
      <c r="U61" s="2"/>
      <c r="V61" s="2"/>
    </row>
    <row r="62" spans="1:22" x14ac:dyDescent="0.35">
      <c r="A62" s="2" t="str">
        <f>Dummy_Variables!A62</f>
        <v>STR-1016</v>
      </c>
      <c r="B62" s="2" t="str">
        <f>Dummy_Variables!B62</f>
        <v>2025-01</v>
      </c>
      <c r="C62" s="2" t="str">
        <f>Dummy_Variables!C62</f>
        <v>South</v>
      </c>
      <c r="D62" s="2" t="str">
        <f>Dummy_Variables!D62</f>
        <v>High Street</v>
      </c>
      <c r="E62" s="7">
        <f>Dummy_Variables!E62</f>
        <v>749559.71</v>
      </c>
      <c r="F62" s="7">
        <f>Dummy_Variables!F62</f>
        <v>74907.98</v>
      </c>
      <c r="G62" s="7">
        <f>Dummy_Variables!G62</f>
        <v>5306</v>
      </c>
      <c r="H62" s="7">
        <f>Dummy_Variables!H62</f>
        <v>6.2E-2</v>
      </c>
      <c r="I62" s="7">
        <f>Dummy_Variables!I62</f>
        <v>16</v>
      </c>
      <c r="J62" s="7">
        <f>Dummy_Variables!J62</f>
        <v>95.6</v>
      </c>
      <c r="K62" s="2">
        <f>Dummy_Variables!K62</f>
        <v>0</v>
      </c>
      <c r="L62" s="7">
        <f>Dummy_Variables!L62</f>
        <v>3.7</v>
      </c>
      <c r="M62" s="2">
        <f>Dummy_Variables!M62</f>
        <v>0</v>
      </c>
      <c r="N62" s="2">
        <f>Dummy_Variables!N62</f>
        <v>1</v>
      </c>
      <c r="O62" s="2">
        <f>Dummy_Variables!O62</f>
        <v>0</v>
      </c>
      <c r="P62" s="7">
        <f t="shared" si="0"/>
        <v>688490.1655542485</v>
      </c>
      <c r="Q62" s="7">
        <f t="shared" si="1"/>
        <v>61069.544445751468</v>
      </c>
      <c r="R62" s="7">
        <f t="shared" si="2"/>
        <v>61069.544445751468</v>
      </c>
      <c r="S62" s="2" t="str">
        <f t="shared" si="3"/>
        <v>Positive residual - actual above prediction</v>
      </c>
      <c r="T62" s="2"/>
      <c r="U62" s="2"/>
      <c r="V62" s="2"/>
    </row>
    <row r="63" spans="1:22" x14ac:dyDescent="0.35">
      <c r="A63" s="2" t="str">
        <f>Dummy_Variables!A63</f>
        <v>STR-1016</v>
      </c>
      <c r="B63" s="2" t="str">
        <f>Dummy_Variables!B63</f>
        <v>2025-02</v>
      </c>
      <c r="C63" s="2" t="str">
        <f>Dummy_Variables!C63</f>
        <v>South</v>
      </c>
      <c r="D63" s="2" t="str">
        <f>Dummy_Variables!D63</f>
        <v>High Street</v>
      </c>
      <c r="E63" s="7">
        <f>Dummy_Variables!E63</f>
        <v>615966.48</v>
      </c>
      <c r="F63" s="7">
        <f>Dummy_Variables!F63</f>
        <v>37284.660000000003</v>
      </c>
      <c r="G63" s="7">
        <f>Dummy_Variables!G63</f>
        <v>3928</v>
      </c>
      <c r="H63" s="7">
        <f>Dummy_Variables!H63</f>
        <v>7.3999999999999996E-2</v>
      </c>
      <c r="I63" s="7">
        <f>Dummy_Variables!I63</f>
        <v>12</v>
      </c>
      <c r="J63" s="7">
        <f>Dummy_Variables!J63</f>
        <v>86.5</v>
      </c>
      <c r="K63" s="2">
        <f>Dummy_Variables!K63</f>
        <v>0</v>
      </c>
      <c r="L63" s="7">
        <f>Dummy_Variables!L63</f>
        <v>3.8</v>
      </c>
      <c r="M63" s="2">
        <f>Dummy_Variables!M63</f>
        <v>0</v>
      </c>
      <c r="N63" s="2">
        <f>Dummy_Variables!N63</f>
        <v>1</v>
      </c>
      <c r="O63" s="2">
        <f>Dummy_Variables!O63</f>
        <v>0</v>
      </c>
      <c r="P63" s="7">
        <f t="shared" si="0"/>
        <v>567598.33270260098</v>
      </c>
      <c r="Q63" s="7">
        <f t="shared" si="1"/>
        <v>48368.147297399002</v>
      </c>
      <c r="R63" s="7">
        <f t="shared" si="2"/>
        <v>48368.147297399002</v>
      </c>
      <c r="S63" s="2" t="str">
        <f t="shared" si="3"/>
        <v>Positive residual - actual above prediction</v>
      </c>
      <c r="T63" s="2"/>
      <c r="U63" s="2"/>
      <c r="V63" s="2"/>
    </row>
    <row r="64" spans="1:22" x14ac:dyDescent="0.35">
      <c r="A64" s="2" t="str">
        <f>Dummy_Variables!A64</f>
        <v>STR-1016</v>
      </c>
      <c r="B64" s="2" t="str">
        <f>Dummy_Variables!B64</f>
        <v>2025-03</v>
      </c>
      <c r="C64" s="2" t="str">
        <f>Dummy_Variables!C64</f>
        <v>South</v>
      </c>
      <c r="D64" s="2" t="str">
        <f>Dummy_Variables!D64</f>
        <v>High Street</v>
      </c>
      <c r="E64" s="7">
        <f>Dummy_Variables!E64</f>
        <v>572011.19999999995</v>
      </c>
      <c r="F64" s="7">
        <f>Dummy_Variables!F64</f>
        <v>50343.19</v>
      </c>
      <c r="G64" s="7">
        <f>Dummy_Variables!G64</f>
        <v>3845</v>
      </c>
      <c r="H64" s="7">
        <f>Dummy_Variables!H64</f>
        <v>0.113</v>
      </c>
      <c r="I64" s="7">
        <f>Dummy_Variables!I64</f>
        <v>9</v>
      </c>
      <c r="J64" s="7">
        <f>Dummy_Variables!J64</f>
        <v>88.7</v>
      </c>
      <c r="K64" s="2">
        <f>Dummy_Variables!K64</f>
        <v>0</v>
      </c>
      <c r="L64" s="7">
        <f>Dummy_Variables!L64</f>
        <v>3.3</v>
      </c>
      <c r="M64" s="2">
        <f>Dummy_Variables!M64</f>
        <v>0</v>
      </c>
      <c r="N64" s="2">
        <f>Dummy_Variables!N64</f>
        <v>1</v>
      </c>
      <c r="O64" s="2">
        <f>Dummy_Variables!O64</f>
        <v>0</v>
      </c>
      <c r="P64" s="7">
        <f t="shared" si="0"/>
        <v>569455.32050224557</v>
      </c>
      <c r="Q64" s="7">
        <f t="shared" si="1"/>
        <v>2555.8794977543876</v>
      </c>
      <c r="R64" s="7">
        <f t="shared" si="2"/>
        <v>2555.8794977543876</v>
      </c>
      <c r="S64" s="2" t="str">
        <f t="shared" si="3"/>
        <v>Positive residual - actual above prediction</v>
      </c>
      <c r="T64" s="2"/>
      <c r="U64" s="2"/>
      <c r="V64" s="2"/>
    </row>
    <row r="65" spans="1:22" x14ac:dyDescent="0.35">
      <c r="A65" s="2" t="str">
        <f>Dummy_Variables!A65</f>
        <v>STR-1016</v>
      </c>
      <c r="B65" s="2" t="str">
        <f>Dummy_Variables!B65</f>
        <v>2025-04</v>
      </c>
      <c r="C65" s="2" t="str">
        <f>Dummy_Variables!C65</f>
        <v>South</v>
      </c>
      <c r="D65" s="2" t="str">
        <f>Dummy_Variables!D65</f>
        <v>High Street</v>
      </c>
      <c r="E65" s="7">
        <f>Dummy_Variables!E65</f>
        <v>761860.19</v>
      </c>
      <c r="F65" s="7">
        <f>Dummy_Variables!F65</f>
        <v>74954.47</v>
      </c>
      <c r="G65" s="7">
        <f>Dummy_Variables!G65</f>
        <v>6620</v>
      </c>
      <c r="H65" s="7">
        <f>Dummy_Variables!H65</f>
        <v>5.3999999999999999E-2</v>
      </c>
      <c r="I65" s="7">
        <f>Dummy_Variables!I65</f>
        <v>17</v>
      </c>
      <c r="J65" s="7">
        <f>Dummy_Variables!J65</f>
        <v>91.1</v>
      </c>
      <c r="K65" s="2">
        <f>Dummy_Variables!K65</f>
        <v>0</v>
      </c>
      <c r="L65" s="7">
        <f>Dummy_Variables!L65</f>
        <v>3.5</v>
      </c>
      <c r="M65" s="2">
        <f>Dummy_Variables!M65</f>
        <v>0</v>
      </c>
      <c r="N65" s="2">
        <f>Dummy_Variables!N65</f>
        <v>1</v>
      </c>
      <c r="O65" s="2">
        <f>Dummy_Variables!O65</f>
        <v>0</v>
      </c>
      <c r="P65" s="7">
        <f t="shared" si="0"/>
        <v>713054.23938552861</v>
      </c>
      <c r="Q65" s="7">
        <f t="shared" si="1"/>
        <v>48805.950614471338</v>
      </c>
      <c r="R65" s="7">
        <f t="shared" si="2"/>
        <v>48805.950614471338</v>
      </c>
      <c r="S65" s="2" t="str">
        <f t="shared" si="3"/>
        <v>Positive residual - actual above prediction</v>
      </c>
      <c r="T65" s="2"/>
      <c r="U65" s="2"/>
      <c r="V65" s="2"/>
    </row>
    <row r="66" spans="1:22" x14ac:dyDescent="0.35">
      <c r="A66" s="2" t="str">
        <f>Dummy_Variables!A66</f>
        <v>STR-1017</v>
      </c>
      <c r="B66" s="2" t="str">
        <f>Dummy_Variables!B66</f>
        <v>2025-01</v>
      </c>
      <c r="C66" s="2" t="str">
        <f>Dummy_Variables!C66</f>
        <v>West</v>
      </c>
      <c r="D66" s="2" t="str">
        <f>Dummy_Variables!D66</f>
        <v>High Street</v>
      </c>
      <c r="E66" s="7">
        <f>Dummy_Variables!E66</f>
        <v>784502.68</v>
      </c>
      <c r="F66" s="7">
        <f>Dummy_Variables!F66</f>
        <v>70040.31</v>
      </c>
      <c r="G66" s="7">
        <f>Dummy_Variables!G66</f>
        <v>9175</v>
      </c>
      <c r="H66" s="7">
        <f>Dummy_Variables!H66</f>
        <v>0.107</v>
      </c>
      <c r="I66" s="7">
        <f>Dummy_Variables!I66</f>
        <v>23</v>
      </c>
      <c r="J66" s="7">
        <f>Dummy_Variables!J66</f>
        <v>95.1</v>
      </c>
      <c r="K66" s="2">
        <f>Dummy_Variables!K66</f>
        <v>1</v>
      </c>
      <c r="L66" s="7">
        <f>Dummy_Variables!L66</f>
        <v>3.4</v>
      </c>
      <c r="M66" s="2">
        <f>Dummy_Variables!M66</f>
        <v>0</v>
      </c>
      <c r="N66" s="2">
        <f>Dummy_Variables!N66</f>
        <v>1</v>
      </c>
      <c r="O66" s="2">
        <f>Dummy_Variables!O66</f>
        <v>0</v>
      </c>
      <c r="P66" s="7">
        <f t="shared" ref="P66:P129" si="4">_xlfn.SINGLE(_xlfn.XLOOKUP("Intercept", $U:$U, $V:$V)) + F66 * _xlfn.SINGLE(_xlfn.XLOOKUP("marketing_spend", $U:$U, $V:$V)) + G66 * _xlfn.SINGLE(_xlfn.XLOOKUP("footfall", $U:$U, $V:$V)) + H66 * _xlfn.SINGLE(_xlfn.XLOOKUP("avg_discount_pct", $U:$U, $V:$V)) + I66 * _xlfn.SINGLE(_xlfn.XLOOKUP("staff_count", $U:$U, $V:$V)) + J66 * _xlfn.SINGLE(_xlfn.XLOOKUP("inventory_availability_pct", $U:$U, $V:$V)) + K66 * _xlfn.SINGLE(_xlfn.XLOOKUP("holiday_flag", $U:$U, $V:$V)) + L66 * _xlfn.SINGLE(_xlfn.XLOOKUP("customer_rating", $U:$U, $V:$V)) + M66 * _xlfn.SINGLE(_xlfn.XLOOKUP("store_type_airport", $U:$U, $V:$V)) + N66 * _xlfn.SINGLE(_xlfn.XLOOKUP("store_type_high_street", $U:$U, $V:$V)) + O66 * _xlfn.SINGLE(_xlfn.XLOOKUP("store_type_mall", $U:$U, $V:$V))</f>
        <v>816142.24638130539</v>
      </c>
      <c r="Q66" s="7">
        <f t="shared" ref="Q66:Q129" si="5">E66-P66</f>
        <v>-31639.56638130534</v>
      </c>
      <c r="R66" s="7">
        <f t="shared" ref="R66:R129" si="6">ABS(Q66)</f>
        <v>31639.56638130534</v>
      </c>
      <c r="S66" s="2" t="str">
        <f t="shared" ref="S66:S129" si="7">IF(Q66&gt;0,"Positive residual - actual above prediction",IF(Q66&lt;0,"Negative residual - actual below prediction","No residual"))</f>
        <v>Negative residual - actual below prediction</v>
      </c>
      <c r="T66" s="2"/>
      <c r="U66" s="2"/>
      <c r="V66" s="2"/>
    </row>
    <row r="67" spans="1:22" x14ac:dyDescent="0.35">
      <c r="A67" s="2" t="str">
        <f>Dummy_Variables!A67</f>
        <v>STR-1017</v>
      </c>
      <c r="B67" s="2" t="str">
        <f>Dummy_Variables!B67</f>
        <v>2025-02</v>
      </c>
      <c r="C67" s="2" t="str">
        <f>Dummy_Variables!C67</f>
        <v>West</v>
      </c>
      <c r="D67" s="2" t="str">
        <f>Dummy_Variables!D67</f>
        <v>High Street</v>
      </c>
      <c r="E67" s="7">
        <f>Dummy_Variables!E67</f>
        <v>717141.55</v>
      </c>
      <c r="F67" s="7">
        <f>Dummy_Variables!F67</f>
        <v>51148.69</v>
      </c>
      <c r="G67" s="7">
        <f>Dummy_Variables!G67</f>
        <v>7940</v>
      </c>
      <c r="H67" s="7">
        <f>Dummy_Variables!H67</f>
        <v>0.156</v>
      </c>
      <c r="I67" s="7">
        <f>Dummy_Variables!I67</f>
        <v>18</v>
      </c>
      <c r="J67" s="7">
        <f>Dummy_Variables!J67</f>
        <v>93.3</v>
      </c>
      <c r="K67" s="2">
        <f>Dummy_Variables!K67</f>
        <v>0</v>
      </c>
      <c r="L67" s="7">
        <f>Dummy_Variables!L67</f>
        <v>3.6</v>
      </c>
      <c r="M67" s="2">
        <f>Dummy_Variables!M67</f>
        <v>0</v>
      </c>
      <c r="N67" s="2">
        <f>Dummy_Variables!N67</f>
        <v>1</v>
      </c>
      <c r="O67" s="2">
        <f>Dummy_Variables!O67</f>
        <v>0</v>
      </c>
      <c r="P67" s="7">
        <f t="shared" si="4"/>
        <v>727126.01449844253</v>
      </c>
      <c r="Q67" s="7">
        <f t="shared" si="5"/>
        <v>-9984.4644984424813</v>
      </c>
      <c r="R67" s="7">
        <f t="shared" si="6"/>
        <v>9984.4644984424813</v>
      </c>
      <c r="S67" s="2" t="str">
        <f t="shared" si="7"/>
        <v>Negative residual - actual below prediction</v>
      </c>
      <c r="T67" s="2"/>
      <c r="U67" s="2"/>
      <c r="V67" s="2"/>
    </row>
    <row r="68" spans="1:22" x14ac:dyDescent="0.35">
      <c r="A68" s="2" t="str">
        <f>Dummy_Variables!A68</f>
        <v>STR-1017</v>
      </c>
      <c r="B68" s="2" t="str">
        <f>Dummy_Variables!B68</f>
        <v>2025-03</v>
      </c>
      <c r="C68" s="2" t="str">
        <f>Dummy_Variables!C68</f>
        <v>West</v>
      </c>
      <c r="D68" s="2" t="str">
        <f>Dummy_Variables!D68</f>
        <v>High Street</v>
      </c>
      <c r="E68" s="7">
        <f>Dummy_Variables!E68</f>
        <v>685379.08</v>
      </c>
      <c r="F68" s="7">
        <f>Dummy_Variables!F68</f>
        <v>79346.100000000006</v>
      </c>
      <c r="G68" s="7">
        <f>Dummy_Variables!G68</f>
        <v>9628</v>
      </c>
      <c r="H68" s="7">
        <f>Dummy_Variables!H68</f>
        <v>0.10199999999999999</v>
      </c>
      <c r="I68" s="7">
        <f>Dummy_Variables!I68</f>
        <v>20</v>
      </c>
      <c r="J68" s="7">
        <f>Dummy_Variables!J68</f>
        <v>99</v>
      </c>
      <c r="K68" s="2">
        <f>Dummy_Variables!K68</f>
        <v>1</v>
      </c>
      <c r="L68" s="7">
        <f>Dummy_Variables!L68</f>
        <v>3.2</v>
      </c>
      <c r="M68" s="2">
        <f>Dummy_Variables!M68</f>
        <v>0</v>
      </c>
      <c r="N68" s="2">
        <f>Dummy_Variables!N68</f>
        <v>1</v>
      </c>
      <c r="O68" s="2">
        <f>Dummy_Variables!O68</f>
        <v>0</v>
      </c>
      <c r="P68" s="7">
        <f t="shared" si="4"/>
        <v>840791.15989990742</v>
      </c>
      <c r="Q68" s="7">
        <f t="shared" si="5"/>
        <v>-155412.07989990746</v>
      </c>
      <c r="R68" s="7">
        <f t="shared" si="6"/>
        <v>155412.07989990746</v>
      </c>
      <c r="S68" s="2" t="str">
        <f t="shared" si="7"/>
        <v>Negative residual - actual below prediction</v>
      </c>
      <c r="T68" s="2"/>
      <c r="U68" s="2"/>
      <c r="V68" s="2"/>
    </row>
    <row r="69" spans="1:22" x14ac:dyDescent="0.35">
      <c r="A69" s="2" t="str">
        <f>Dummy_Variables!A69</f>
        <v>STR-1017</v>
      </c>
      <c r="B69" s="2" t="str">
        <f>Dummy_Variables!B69</f>
        <v>2025-04</v>
      </c>
      <c r="C69" s="2" t="str">
        <f>Dummy_Variables!C69</f>
        <v>West</v>
      </c>
      <c r="D69" s="2" t="str">
        <f>Dummy_Variables!D69</f>
        <v>High Street</v>
      </c>
      <c r="E69" s="7">
        <f>Dummy_Variables!E69</f>
        <v>740496.65</v>
      </c>
      <c r="F69" s="7">
        <f>Dummy_Variables!F69</f>
        <v>42018.400000000001</v>
      </c>
      <c r="G69" s="7">
        <f>Dummy_Variables!G69</f>
        <v>8296</v>
      </c>
      <c r="H69" s="7">
        <f>Dummy_Variables!H69</f>
        <v>0.115</v>
      </c>
      <c r="I69" s="7">
        <f>Dummy_Variables!I69</f>
        <v>17</v>
      </c>
      <c r="J69" s="7">
        <f>Dummy_Variables!J69</f>
        <v>91.8</v>
      </c>
      <c r="K69" s="2">
        <f>Dummy_Variables!K69</f>
        <v>0</v>
      </c>
      <c r="L69" s="7">
        <f>Dummy_Variables!L69</f>
        <v>3.4</v>
      </c>
      <c r="M69" s="2">
        <f>Dummy_Variables!M69</f>
        <v>0</v>
      </c>
      <c r="N69" s="2">
        <f>Dummy_Variables!N69</f>
        <v>1</v>
      </c>
      <c r="O69" s="2">
        <f>Dummy_Variables!O69</f>
        <v>0</v>
      </c>
      <c r="P69" s="7">
        <f t="shared" si="4"/>
        <v>719411.31043730339</v>
      </c>
      <c r="Q69" s="7">
        <f t="shared" si="5"/>
        <v>21085.339562696638</v>
      </c>
      <c r="R69" s="7">
        <f t="shared" si="6"/>
        <v>21085.339562696638</v>
      </c>
      <c r="S69" s="2" t="str">
        <f t="shared" si="7"/>
        <v>Positive residual - actual above prediction</v>
      </c>
      <c r="T69" s="2"/>
      <c r="U69" s="2"/>
      <c r="V69" s="2"/>
    </row>
    <row r="70" spans="1:22" x14ac:dyDescent="0.35">
      <c r="A70" s="2" t="str">
        <f>Dummy_Variables!A70</f>
        <v>STR-1018</v>
      </c>
      <c r="B70" s="2" t="str">
        <f>Dummy_Variables!B70</f>
        <v>2025-01</v>
      </c>
      <c r="C70" s="2" t="str">
        <f>Dummy_Variables!C70</f>
        <v>East</v>
      </c>
      <c r="D70" s="2" t="str">
        <f>Dummy_Variables!D70</f>
        <v>High Street</v>
      </c>
      <c r="E70" s="7">
        <f>Dummy_Variables!E70</f>
        <v>661927.14</v>
      </c>
      <c r="F70" s="7">
        <f>Dummy_Variables!F70</f>
        <v>70937.240000000005</v>
      </c>
      <c r="G70" s="7">
        <f>Dummy_Variables!G70</f>
        <v>3595</v>
      </c>
      <c r="H70" s="7">
        <f>Dummy_Variables!H70</f>
        <v>0.14099999999999999</v>
      </c>
      <c r="I70" s="7">
        <f>Dummy_Variables!I70</f>
        <v>11</v>
      </c>
      <c r="J70" s="7">
        <f>Dummy_Variables!J70</f>
        <v>88.9</v>
      </c>
      <c r="K70" s="2">
        <f>Dummy_Variables!K70</f>
        <v>1</v>
      </c>
      <c r="L70" s="7">
        <f>Dummy_Variables!L70</f>
        <v>3.3</v>
      </c>
      <c r="M70" s="2">
        <f>Dummy_Variables!M70</f>
        <v>0</v>
      </c>
      <c r="N70" s="2">
        <f>Dummy_Variables!N70</f>
        <v>1</v>
      </c>
      <c r="O70" s="2">
        <f>Dummy_Variables!O70</f>
        <v>0</v>
      </c>
      <c r="P70" s="7">
        <f t="shared" si="4"/>
        <v>602518.46410876245</v>
      </c>
      <c r="Q70" s="7">
        <f t="shared" si="5"/>
        <v>59408.675891237566</v>
      </c>
      <c r="R70" s="7">
        <f t="shared" si="6"/>
        <v>59408.675891237566</v>
      </c>
      <c r="S70" s="2" t="str">
        <f t="shared" si="7"/>
        <v>Positive residual - actual above prediction</v>
      </c>
      <c r="T70" s="2"/>
      <c r="U70" s="2"/>
      <c r="V70" s="2"/>
    </row>
    <row r="71" spans="1:22" x14ac:dyDescent="0.35">
      <c r="A71" s="2" t="str">
        <f>Dummy_Variables!A71</f>
        <v>STR-1018</v>
      </c>
      <c r="B71" s="2" t="str">
        <f>Dummy_Variables!B71</f>
        <v>2025-02</v>
      </c>
      <c r="C71" s="2" t="str">
        <f>Dummy_Variables!C71</f>
        <v>East</v>
      </c>
      <c r="D71" s="2" t="str">
        <f>Dummy_Variables!D71</f>
        <v>High Street</v>
      </c>
      <c r="E71" s="7">
        <f>Dummy_Variables!E71</f>
        <v>479050.5</v>
      </c>
      <c r="F71" s="7">
        <f>Dummy_Variables!F71</f>
        <v>36813.449999999997</v>
      </c>
      <c r="G71" s="7">
        <f>Dummy_Variables!G71</f>
        <v>2834</v>
      </c>
      <c r="H71" s="7">
        <f>Dummy_Variables!H71</f>
        <v>0.191</v>
      </c>
      <c r="I71" s="7">
        <f>Dummy_Variables!I71</f>
        <v>11</v>
      </c>
      <c r="J71" s="7">
        <f>Dummy_Variables!J71</f>
        <v>81.8</v>
      </c>
      <c r="K71" s="2">
        <f>Dummy_Variables!K71</f>
        <v>0</v>
      </c>
      <c r="L71" s="7">
        <f>Dummy_Variables!L71</f>
        <v>3.3</v>
      </c>
      <c r="M71" s="2">
        <f>Dummy_Variables!M71</f>
        <v>0</v>
      </c>
      <c r="N71" s="2">
        <f>Dummy_Variables!N71</f>
        <v>1</v>
      </c>
      <c r="O71" s="2">
        <f>Dummy_Variables!O71</f>
        <v>0</v>
      </c>
      <c r="P71" s="7">
        <f t="shared" si="4"/>
        <v>504825.29275841959</v>
      </c>
      <c r="Q71" s="7">
        <f t="shared" si="5"/>
        <v>-25774.792758419586</v>
      </c>
      <c r="R71" s="7">
        <f t="shared" si="6"/>
        <v>25774.792758419586</v>
      </c>
      <c r="S71" s="2" t="str">
        <f t="shared" si="7"/>
        <v>Negative residual - actual below prediction</v>
      </c>
      <c r="T71" s="2"/>
      <c r="U71" s="2"/>
      <c r="V71" s="2"/>
    </row>
    <row r="72" spans="1:22" x14ac:dyDescent="0.35">
      <c r="A72" s="2" t="str">
        <f>Dummy_Variables!A72</f>
        <v>STR-1018</v>
      </c>
      <c r="B72" s="2" t="str">
        <f>Dummy_Variables!B72</f>
        <v>2025-03</v>
      </c>
      <c r="C72" s="2" t="str">
        <f>Dummy_Variables!C72</f>
        <v>East</v>
      </c>
      <c r="D72" s="2" t="str">
        <f>Dummy_Variables!D72</f>
        <v>High Street</v>
      </c>
      <c r="E72" s="7">
        <f>Dummy_Variables!E72</f>
        <v>605023.87</v>
      </c>
      <c r="F72" s="7">
        <f>Dummy_Variables!F72</f>
        <v>60571.82</v>
      </c>
      <c r="G72" s="7">
        <f>Dummy_Variables!G72</f>
        <v>3193</v>
      </c>
      <c r="H72" s="7">
        <f>Dummy_Variables!H72</f>
        <v>0.19700000000000001</v>
      </c>
      <c r="I72" s="7">
        <f>Dummy_Variables!I72</f>
        <v>7</v>
      </c>
      <c r="J72" s="7">
        <f>Dummy_Variables!J72</f>
        <v>99</v>
      </c>
      <c r="K72" s="2">
        <f>Dummy_Variables!K72</f>
        <v>0</v>
      </c>
      <c r="L72" s="7">
        <f>Dummy_Variables!L72</f>
        <v>3.2</v>
      </c>
      <c r="M72" s="2">
        <f>Dummy_Variables!M72</f>
        <v>0</v>
      </c>
      <c r="N72" s="2">
        <f>Dummy_Variables!N72</f>
        <v>1</v>
      </c>
      <c r="O72" s="2">
        <f>Dummy_Variables!O72</f>
        <v>0</v>
      </c>
      <c r="P72" s="7">
        <f t="shared" si="4"/>
        <v>581387.35198105802</v>
      </c>
      <c r="Q72" s="7">
        <f t="shared" si="5"/>
        <v>23636.518018941977</v>
      </c>
      <c r="R72" s="7">
        <f t="shared" si="6"/>
        <v>23636.518018941977</v>
      </c>
      <c r="S72" s="2" t="str">
        <f t="shared" si="7"/>
        <v>Positive residual - actual above prediction</v>
      </c>
      <c r="T72" s="2"/>
      <c r="U72" s="2"/>
      <c r="V72" s="2"/>
    </row>
    <row r="73" spans="1:22" x14ac:dyDescent="0.35">
      <c r="A73" s="2" t="str">
        <f>Dummy_Variables!A73</f>
        <v>STR-1018</v>
      </c>
      <c r="B73" s="2" t="str">
        <f>Dummy_Variables!B73</f>
        <v>2025-04</v>
      </c>
      <c r="C73" s="2" t="str">
        <f>Dummy_Variables!C73</f>
        <v>East</v>
      </c>
      <c r="D73" s="2" t="str">
        <f>Dummy_Variables!D73</f>
        <v>High Street</v>
      </c>
      <c r="E73" s="7">
        <f>Dummy_Variables!E73</f>
        <v>674774.09</v>
      </c>
      <c r="F73" s="7">
        <f>Dummy_Variables!F73</f>
        <v>55081.16</v>
      </c>
      <c r="G73" s="7">
        <f>Dummy_Variables!G73</f>
        <v>5485</v>
      </c>
      <c r="H73" s="7">
        <f>Dummy_Variables!H73</f>
        <v>3.5999999999999997E-2</v>
      </c>
      <c r="I73" s="7">
        <f>Dummy_Variables!I73</f>
        <v>12</v>
      </c>
      <c r="J73" s="7">
        <f>Dummy_Variables!J73</f>
        <v>88</v>
      </c>
      <c r="K73" s="2">
        <f>Dummy_Variables!K73</f>
        <v>0</v>
      </c>
      <c r="L73" s="7">
        <f>Dummy_Variables!L73</f>
        <v>3.5</v>
      </c>
      <c r="M73" s="2">
        <f>Dummy_Variables!M73</f>
        <v>0</v>
      </c>
      <c r="N73" s="2">
        <f>Dummy_Variables!N73</f>
        <v>1</v>
      </c>
      <c r="O73" s="2">
        <f>Dummy_Variables!O73</f>
        <v>0</v>
      </c>
      <c r="P73" s="7">
        <f t="shared" si="4"/>
        <v>635525.63481900981</v>
      </c>
      <c r="Q73" s="7">
        <f t="shared" si="5"/>
        <v>39248.45518099016</v>
      </c>
      <c r="R73" s="7">
        <f t="shared" si="6"/>
        <v>39248.45518099016</v>
      </c>
      <c r="S73" s="2" t="str">
        <f t="shared" si="7"/>
        <v>Positive residual - actual above prediction</v>
      </c>
      <c r="T73" s="2"/>
      <c r="U73" s="2"/>
      <c r="V73" s="2"/>
    </row>
    <row r="74" spans="1:22" x14ac:dyDescent="0.35">
      <c r="A74" s="2" t="str">
        <f>Dummy_Variables!A74</f>
        <v>STR-1019</v>
      </c>
      <c r="B74" s="2" t="str">
        <f>Dummy_Variables!B74</f>
        <v>2025-01</v>
      </c>
      <c r="C74" s="2" t="str">
        <f>Dummy_Variables!C74</f>
        <v>East</v>
      </c>
      <c r="D74" s="2" t="str">
        <f>Dummy_Variables!D74</f>
        <v>Residential</v>
      </c>
      <c r="E74" s="7">
        <f>Dummy_Variables!E74</f>
        <v>616069.41</v>
      </c>
      <c r="F74" s="7">
        <f>Dummy_Variables!F74</f>
        <v>46201.46</v>
      </c>
      <c r="G74" s="7">
        <f>Dummy_Variables!G74</f>
        <v>5918</v>
      </c>
      <c r="H74" s="7">
        <f>Dummy_Variables!H74</f>
        <v>0.27700000000000002</v>
      </c>
      <c r="I74" s="7">
        <f>Dummy_Variables!I74</f>
        <v>13</v>
      </c>
      <c r="J74" s="7">
        <f>Dummy_Variables!J74</f>
        <v>78.8</v>
      </c>
      <c r="K74" s="2">
        <f>Dummy_Variables!K74</f>
        <v>0</v>
      </c>
      <c r="L74" s="7">
        <f>Dummy_Variables!L74</f>
        <v>4.5</v>
      </c>
      <c r="M74" s="2">
        <f>Dummy_Variables!M74</f>
        <v>0</v>
      </c>
      <c r="N74" s="2">
        <f>Dummy_Variables!N74</f>
        <v>0</v>
      </c>
      <c r="O74" s="2">
        <f>Dummy_Variables!O74</f>
        <v>0</v>
      </c>
      <c r="P74" s="7">
        <f t="shared" si="4"/>
        <v>591951.18787249399</v>
      </c>
      <c r="Q74" s="7">
        <f t="shared" si="5"/>
        <v>24118.222127506044</v>
      </c>
      <c r="R74" s="7">
        <f t="shared" si="6"/>
        <v>24118.222127506044</v>
      </c>
      <c r="S74" s="2" t="str">
        <f t="shared" si="7"/>
        <v>Positive residual - actual above prediction</v>
      </c>
      <c r="T74" s="2"/>
      <c r="U74" s="2"/>
      <c r="V74" s="2"/>
    </row>
    <row r="75" spans="1:22" x14ac:dyDescent="0.35">
      <c r="A75" s="2" t="str">
        <f>Dummy_Variables!A75</f>
        <v>STR-1019</v>
      </c>
      <c r="B75" s="2" t="str">
        <f>Dummy_Variables!B75</f>
        <v>2025-02</v>
      </c>
      <c r="C75" s="2" t="str">
        <f>Dummy_Variables!C75</f>
        <v>East</v>
      </c>
      <c r="D75" s="2" t="str">
        <f>Dummy_Variables!D75</f>
        <v>Residential</v>
      </c>
      <c r="E75" s="7">
        <f>Dummy_Variables!E75</f>
        <v>630829.93999999994</v>
      </c>
      <c r="F75" s="7">
        <f>Dummy_Variables!F75</f>
        <v>53762.92</v>
      </c>
      <c r="G75" s="7">
        <f>Dummy_Variables!G75</f>
        <v>6821</v>
      </c>
      <c r="H75" s="7">
        <f>Dummy_Variables!H75</f>
        <v>6.6000000000000003E-2</v>
      </c>
      <c r="I75" s="7">
        <f>Dummy_Variables!I75</f>
        <v>19</v>
      </c>
      <c r="J75" s="7">
        <f>Dummy_Variables!J75</f>
        <v>94.6</v>
      </c>
      <c r="K75" s="2">
        <f>Dummy_Variables!K75</f>
        <v>0</v>
      </c>
      <c r="L75" s="7">
        <f>Dummy_Variables!L75</f>
        <v>4.4000000000000004</v>
      </c>
      <c r="M75" s="2">
        <f>Dummy_Variables!M75</f>
        <v>0</v>
      </c>
      <c r="N75" s="2">
        <f>Dummy_Variables!N75</f>
        <v>0</v>
      </c>
      <c r="O75" s="2">
        <f>Dummy_Variables!O75</f>
        <v>0</v>
      </c>
      <c r="P75" s="7">
        <f t="shared" si="4"/>
        <v>703433.58454143419</v>
      </c>
      <c r="Q75" s="7">
        <f t="shared" si="5"/>
        <v>-72603.644541434245</v>
      </c>
      <c r="R75" s="7">
        <f t="shared" si="6"/>
        <v>72603.644541434245</v>
      </c>
      <c r="S75" s="2" t="str">
        <f t="shared" si="7"/>
        <v>Negative residual - actual below prediction</v>
      </c>
      <c r="T75" s="2"/>
      <c r="U75" s="2"/>
      <c r="V75" s="2"/>
    </row>
    <row r="76" spans="1:22" x14ac:dyDescent="0.35">
      <c r="A76" s="2" t="str">
        <f>Dummy_Variables!A76</f>
        <v>STR-1019</v>
      </c>
      <c r="B76" s="2" t="str">
        <f>Dummy_Variables!B76</f>
        <v>2025-03</v>
      </c>
      <c r="C76" s="2" t="str">
        <f>Dummy_Variables!C76</f>
        <v>East</v>
      </c>
      <c r="D76" s="2" t="str">
        <f>Dummy_Variables!D76</f>
        <v>Residential</v>
      </c>
      <c r="E76" s="7">
        <f>Dummy_Variables!E76</f>
        <v>788087.68</v>
      </c>
      <c r="F76" s="7">
        <f>Dummy_Variables!F76</f>
        <v>70144.78</v>
      </c>
      <c r="G76" s="7">
        <f>Dummy_Variables!G76</f>
        <v>6806</v>
      </c>
      <c r="H76" s="7">
        <f>Dummy_Variables!H76</f>
        <v>0.17799999999999999</v>
      </c>
      <c r="I76" s="7">
        <f>Dummy_Variables!I76</f>
        <v>20</v>
      </c>
      <c r="J76" s="7">
        <f>Dummy_Variables!J76</f>
        <v>93.1</v>
      </c>
      <c r="K76" s="2">
        <f>Dummy_Variables!K76</f>
        <v>1</v>
      </c>
      <c r="L76" s="7">
        <f>Dummy_Variables!L76</f>
        <v>4.3</v>
      </c>
      <c r="M76" s="2">
        <f>Dummy_Variables!M76</f>
        <v>0</v>
      </c>
      <c r="N76" s="2">
        <f>Dummy_Variables!N76</f>
        <v>0</v>
      </c>
      <c r="O76" s="2">
        <f>Dummy_Variables!O76</f>
        <v>0</v>
      </c>
      <c r="P76" s="7">
        <f t="shared" si="4"/>
        <v>723563.95941176522</v>
      </c>
      <c r="Q76" s="7">
        <f t="shared" si="5"/>
        <v>64523.720588234835</v>
      </c>
      <c r="R76" s="7">
        <f t="shared" si="6"/>
        <v>64523.720588234835</v>
      </c>
      <c r="S76" s="2" t="str">
        <f t="shared" si="7"/>
        <v>Positive residual - actual above prediction</v>
      </c>
      <c r="T76" s="2"/>
      <c r="U76" s="2"/>
      <c r="V76" s="2"/>
    </row>
    <row r="77" spans="1:22" x14ac:dyDescent="0.35">
      <c r="A77" s="2" t="str">
        <f>Dummy_Variables!A77</f>
        <v>STR-1019</v>
      </c>
      <c r="B77" s="2" t="str">
        <f>Dummy_Variables!B77</f>
        <v>2025-04</v>
      </c>
      <c r="C77" s="2" t="str">
        <f>Dummy_Variables!C77</f>
        <v>East</v>
      </c>
      <c r="D77" s="2" t="str">
        <f>Dummy_Variables!D77</f>
        <v>Residential</v>
      </c>
      <c r="E77" s="7">
        <f>Dummy_Variables!E77</f>
        <v>680840.36</v>
      </c>
      <c r="F77" s="7">
        <f>Dummy_Variables!F77</f>
        <v>58749.63</v>
      </c>
      <c r="G77" s="7">
        <f>Dummy_Variables!G77</f>
        <v>8252</v>
      </c>
      <c r="H77" s="7">
        <f>Dummy_Variables!H77</f>
        <v>0.20300000000000001</v>
      </c>
      <c r="I77" s="7">
        <f>Dummy_Variables!I77</f>
        <v>20</v>
      </c>
      <c r="J77" s="7">
        <f>Dummy_Variables!J77</f>
        <v>85.2</v>
      </c>
      <c r="K77" s="2">
        <f>Dummy_Variables!K77</f>
        <v>0</v>
      </c>
      <c r="L77" s="7">
        <f>Dummy_Variables!L77</f>
        <v>4.5</v>
      </c>
      <c r="M77" s="2">
        <f>Dummy_Variables!M77</f>
        <v>0</v>
      </c>
      <c r="N77" s="2">
        <f>Dummy_Variables!N77</f>
        <v>0</v>
      </c>
      <c r="O77" s="2">
        <f>Dummy_Variables!O77</f>
        <v>0</v>
      </c>
      <c r="P77" s="7">
        <f t="shared" si="4"/>
        <v>716687.04748730443</v>
      </c>
      <c r="Q77" s="7">
        <f t="shared" si="5"/>
        <v>-35846.687487304443</v>
      </c>
      <c r="R77" s="7">
        <f t="shared" si="6"/>
        <v>35846.687487304443</v>
      </c>
      <c r="S77" s="2" t="str">
        <f t="shared" si="7"/>
        <v>Negative residual - actual below prediction</v>
      </c>
      <c r="T77" s="2"/>
      <c r="U77" s="2"/>
      <c r="V77" s="2"/>
    </row>
    <row r="78" spans="1:22" x14ac:dyDescent="0.35">
      <c r="A78" s="2" t="str">
        <f>Dummy_Variables!A78</f>
        <v>STR-1020</v>
      </c>
      <c r="B78" s="2" t="str">
        <f>Dummy_Variables!B78</f>
        <v>2025-01</v>
      </c>
      <c r="C78" s="2" t="str">
        <f>Dummy_Variables!C78</f>
        <v>South</v>
      </c>
      <c r="D78" s="2" t="str">
        <f>Dummy_Variables!D78</f>
        <v>High Street</v>
      </c>
      <c r="E78" s="7">
        <f>Dummy_Variables!E78</f>
        <v>643657.47</v>
      </c>
      <c r="F78" s="7">
        <f>Dummy_Variables!F78</f>
        <v>56973.18</v>
      </c>
      <c r="G78" s="7">
        <f>Dummy_Variables!G78</f>
        <v>6662</v>
      </c>
      <c r="H78" s="7">
        <f>Dummy_Variables!H78</f>
        <v>0.1</v>
      </c>
      <c r="I78" s="7">
        <f>Dummy_Variables!I78</f>
        <v>15</v>
      </c>
      <c r="J78" s="7">
        <f>Dummy_Variables!J78</f>
        <v>77.7</v>
      </c>
      <c r="K78" s="2">
        <f>Dummy_Variables!K78</f>
        <v>1</v>
      </c>
      <c r="L78" s="7">
        <f>Dummy_Variables!L78</f>
        <v>3.2</v>
      </c>
      <c r="M78" s="2">
        <f>Dummy_Variables!M78</f>
        <v>0</v>
      </c>
      <c r="N78" s="2">
        <f>Dummy_Variables!N78</f>
        <v>1</v>
      </c>
      <c r="O78" s="2">
        <f>Dummy_Variables!O78</f>
        <v>0</v>
      </c>
      <c r="P78" s="7">
        <f t="shared" si="4"/>
        <v>652410.72999838064</v>
      </c>
      <c r="Q78" s="7">
        <f t="shared" si="5"/>
        <v>-8753.2599983806722</v>
      </c>
      <c r="R78" s="7">
        <f t="shared" si="6"/>
        <v>8753.2599983806722</v>
      </c>
      <c r="S78" s="2" t="str">
        <f t="shared" si="7"/>
        <v>Negative residual - actual below prediction</v>
      </c>
      <c r="T78" s="2"/>
      <c r="U78" s="2"/>
      <c r="V78" s="2"/>
    </row>
    <row r="79" spans="1:22" x14ac:dyDescent="0.35">
      <c r="A79" s="2" t="str">
        <f>Dummy_Variables!A79</f>
        <v>STR-1020</v>
      </c>
      <c r="B79" s="2" t="str">
        <f>Dummy_Variables!B79</f>
        <v>2025-02</v>
      </c>
      <c r="C79" s="2" t="str">
        <f>Dummy_Variables!C79</f>
        <v>South</v>
      </c>
      <c r="D79" s="2" t="str">
        <f>Dummy_Variables!D79</f>
        <v>High Street</v>
      </c>
      <c r="E79" s="7">
        <f>Dummy_Variables!E79</f>
        <v>691112.6</v>
      </c>
      <c r="F79" s="7">
        <f>Dummy_Variables!F79</f>
        <v>54872.82</v>
      </c>
      <c r="G79" s="7">
        <f>Dummy_Variables!G79</f>
        <v>5962</v>
      </c>
      <c r="H79" s="7">
        <f>Dummy_Variables!H79</f>
        <v>6.4000000000000001E-2</v>
      </c>
      <c r="I79" s="7">
        <f>Dummy_Variables!I79</f>
        <v>12</v>
      </c>
      <c r="J79" s="7">
        <f>Dummy_Variables!J79</f>
        <v>85.4</v>
      </c>
      <c r="K79" s="2">
        <f>Dummy_Variables!K79</f>
        <v>0</v>
      </c>
      <c r="L79" s="7">
        <f>Dummy_Variables!L79</f>
        <v>2.9</v>
      </c>
      <c r="M79" s="2">
        <f>Dummy_Variables!M79</f>
        <v>0</v>
      </c>
      <c r="N79" s="2">
        <f>Dummy_Variables!N79</f>
        <v>1</v>
      </c>
      <c r="O79" s="2">
        <f>Dummy_Variables!O79</f>
        <v>0</v>
      </c>
      <c r="P79" s="7">
        <f t="shared" si="4"/>
        <v>631365.7055391114</v>
      </c>
      <c r="Q79" s="7">
        <f t="shared" si="5"/>
        <v>59746.894460888579</v>
      </c>
      <c r="R79" s="7">
        <f t="shared" si="6"/>
        <v>59746.894460888579</v>
      </c>
      <c r="S79" s="2" t="str">
        <f t="shared" si="7"/>
        <v>Positive residual - actual above prediction</v>
      </c>
      <c r="T79" s="2"/>
      <c r="U79" s="2"/>
      <c r="V79" s="2"/>
    </row>
    <row r="80" spans="1:22" x14ac:dyDescent="0.35">
      <c r="A80" s="2" t="str">
        <f>Dummy_Variables!A80</f>
        <v>STR-1020</v>
      </c>
      <c r="B80" s="2" t="str">
        <f>Dummy_Variables!B80</f>
        <v>2025-03</v>
      </c>
      <c r="C80" s="2" t="str">
        <f>Dummy_Variables!C80</f>
        <v>South</v>
      </c>
      <c r="D80" s="2" t="str">
        <f>Dummy_Variables!D80</f>
        <v>High Street</v>
      </c>
      <c r="E80" s="7">
        <f>Dummy_Variables!E80</f>
        <v>776922.17</v>
      </c>
      <c r="F80" s="7">
        <f>Dummy_Variables!F80</f>
        <v>80562.81</v>
      </c>
      <c r="G80" s="7">
        <f>Dummy_Variables!G80</f>
        <v>7470</v>
      </c>
      <c r="H80" s="7">
        <f>Dummy_Variables!H80</f>
        <v>0.17199999999999999</v>
      </c>
      <c r="I80" s="7">
        <f>Dummy_Variables!I80</f>
        <v>16</v>
      </c>
      <c r="J80" s="7">
        <f>Dummy_Variables!J80</f>
        <v>83.5</v>
      </c>
      <c r="K80" s="2">
        <f>Dummy_Variables!K80</f>
        <v>0</v>
      </c>
      <c r="L80" s="7">
        <f>Dummy_Variables!L80</f>
        <v>3.3</v>
      </c>
      <c r="M80" s="2">
        <f>Dummy_Variables!M80</f>
        <v>0</v>
      </c>
      <c r="N80" s="2">
        <f>Dummy_Variables!N80</f>
        <v>1</v>
      </c>
      <c r="O80" s="2">
        <f>Dummy_Variables!O80</f>
        <v>0</v>
      </c>
      <c r="P80" s="7">
        <f t="shared" si="4"/>
        <v>707638.31372014631</v>
      </c>
      <c r="Q80" s="7">
        <f t="shared" si="5"/>
        <v>69283.856279853731</v>
      </c>
      <c r="R80" s="7">
        <f t="shared" si="6"/>
        <v>69283.856279853731</v>
      </c>
      <c r="S80" s="2" t="str">
        <f t="shared" si="7"/>
        <v>Positive residual - actual above prediction</v>
      </c>
      <c r="T80" s="2"/>
      <c r="U80" s="2"/>
      <c r="V80" s="2"/>
    </row>
    <row r="81" spans="1:22" x14ac:dyDescent="0.35">
      <c r="A81" s="2" t="str">
        <f>Dummy_Variables!A81</f>
        <v>STR-1020</v>
      </c>
      <c r="B81" s="2" t="str">
        <f>Dummy_Variables!B81</f>
        <v>2025-04</v>
      </c>
      <c r="C81" s="2" t="str">
        <f>Dummy_Variables!C81</f>
        <v>South</v>
      </c>
      <c r="D81" s="2" t="str">
        <f>Dummy_Variables!D81</f>
        <v>High Street</v>
      </c>
      <c r="E81" s="7">
        <f>Dummy_Variables!E81</f>
        <v>636561.34</v>
      </c>
      <c r="F81" s="7">
        <f>Dummy_Variables!F81</f>
        <v>77999.899999999994</v>
      </c>
      <c r="G81" s="7">
        <f>Dummy_Variables!G81</f>
        <v>5974</v>
      </c>
      <c r="H81" s="7">
        <f>Dummy_Variables!H81</f>
        <v>0.252</v>
      </c>
      <c r="I81" s="7">
        <f>Dummy_Variables!I81</f>
        <v>14</v>
      </c>
      <c r="J81" s="7">
        <f>Dummy_Variables!J81</f>
        <v>81.3</v>
      </c>
      <c r="K81" s="2">
        <f>Dummy_Variables!K81</f>
        <v>0</v>
      </c>
      <c r="L81" s="7">
        <f>Dummy_Variables!L81</f>
        <v>3.2</v>
      </c>
      <c r="M81" s="2">
        <f>Dummy_Variables!M81</f>
        <v>0</v>
      </c>
      <c r="N81" s="2">
        <f>Dummy_Variables!N81</f>
        <v>1</v>
      </c>
      <c r="O81" s="2">
        <f>Dummy_Variables!O81</f>
        <v>0</v>
      </c>
      <c r="P81" s="7">
        <f t="shared" si="4"/>
        <v>643357.53563316632</v>
      </c>
      <c r="Q81" s="7">
        <f t="shared" si="5"/>
        <v>-6796.1956331663532</v>
      </c>
      <c r="R81" s="7">
        <f t="shared" si="6"/>
        <v>6796.1956331663532</v>
      </c>
      <c r="S81" s="2" t="str">
        <f t="shared" si="7"/>
        <v>Negative residual - actual below prediction</v>
      </c>
      <c r="T81" s="2"/>
      <c r="U81" s="2"/>
      <c r="V81" s="2"/>
    </row>
    <row r="82" spans="1:22" x14ac:dyDescent="0.35">
      <c r="A82" s="2" t="str">
        <f>Dummy_Variables!A82</f>
        <v>STR-1021</v>
      </c>
      <c r="B82" s="2" t="str">
        <f>Dummy_Variables!B82</f>
        <v>2025-01</v>
      </c>
      <c r="C82" s="2" t="str">
        <f>Dummy_Variables!C82</f>
        <v>West</v>
      </c>
      <c r="D82" s="2" t="str">
        <f>Dummy_Variables!D82</f>
        <v>Mall</v>
      </c>
      <c r="E82" s="7">
        <f>Dummy_Variables!E82</f>
        <v>621369.57999999996</v>
      </c>
      <c r="F82" s="7">
        <f>Dummy_Variables!F82</f>
        <v>60881.01</v>
      </c>
      <c r="G82" s="7">
        <f>Dummy_Variables!G82</f>
        <v>5410</v>
      </c>
      <c r="H82" s="7">
        <f>Dummy_Variables!H82</f>
        <v>0.17899999999999999</v>
      </c>
      <c r="I82" s="7">
        <f>Dummy_Variables!I82</f>
        <v>15</v>
      </c>
      <c r="J82" s="7">
        <f>Dummy_Variables!J82</f>
        <v>83.9</v>
      </c>
      <c r="K82" s="2">
        <f>Dummy_Variables!K82</f>
        <v>0</v>
      </c>
      <c r="L82" s="7">
        <f>Dummy_Variables!L82</f>
        <v>4.5999999999999996</v>
      </c>
      <c r="M82" s="2">
        <f>Dummy_Variables!M82</f>
        <v>0</v>
      </c>
      <c r="N82" s="2">
        <f>Dummy_Variables!N82</f>
        <v>0</v>
      </c>
      <c r="O82" s="2">
        <f>Dummy_Variables!O82</f>
        <v>1</v>
      </c>
      <c r="P82" s="7">
        <f t="shared" si="4"/>
        <v>650213.01637429115</v>
      </c>
      <c r="Q82" s="7">
        <f t="shared" si="5"/>
        <v>-28843.436374291196</v>
      </c>
      <c r="R82" s="7">
        <f t="shared" si="6"/>
        <v>28843.436374291196</v>
      </c>
      <c r="S82" s="2" t="str">
        <f t="shared" si="7"/>
        <v>Negative residual - actual below prediction</v>
      </c>
      <c r="T82" s="2"/>
      <c r="U82" s="2"/>
      <c r="V82" s="2"/>
    </row>
    <row r="83" spans="1:22" x14ac:dyDescent="0.35">
      <c r="A83" s="2" t="str">
        <f>Dummy_Variables!A83</f>
        <v>STR-1021</v>
      </c>
      <c r="B83" s="2" t="str">
        <f>Dummy_Variables!B83</f>
        <v>2025-02</v>
      </c>
      <c r="C83" s="2" t="str">
        <f>Dummy_Variables!C83</f>
        <v>West</v>
      </c>
      <c r="D83" s="2" t="str">
        <f>Dummy_Variables!D83</f>
        <v>Mall</v>
      </c>
      <c r="E83" s="7">
        <f>Dummy_Variables!E83</f>
        <v>682208.01</v>
      </c>
      <c r="F83" s="7">
        <f>Dummy_Variables!F83</f>
        <v>60628.38</v>
      </c>
      <c r="G83" s="7">
        <f>Dummy_Variables!G83</f>
        <v>4451</v>
      </c>
      <c r="H83" s="7">
        <f>Dummy_Variables!H83</f>
        <v>9.5000000000000001E-2</v>
      </c>
      <c r="I83" s="7">
        <f>Dummy_Variables!I83</f>
        <v>10</v>
      </c>
      <c r="J83" s="7">
        <f>Dummy_Variables!J83</f>
        <v>89.6</v>
      </c>
      <c r="K83" s="2">
        <f>Dummy_Variables!K83</f>
        <v>0</v>
      </c>
      <c r="L83" s="7">
        <f>Dummy_Variables!L83</f>
        <v>4.5999999999999996</v>
      </c>
      <c r="M83" s="2">
        <f>Dummy_Variables!M83</f>
        <v>0</v>
      </c>
      <c r="N83" s="2">
        <f>Dummy_Variables!N83</f>
        <v>0</v>
      </c>
      <c r="O83" s="2">
        <f>Dummy_Variables!O83</f>
        <v>1</v>
      </c>
      <c r="P83" s="7">
        <f t="shared" si="4"/>
        <v>631228.13261582004</v>
      </c>
      <c r="Q83" s="7">
        <f t="shared" si="5"/>
        <v>50979.87738417997</v>
      </c>
      <c r="R83" s="7">
        <f t="shared" si="6"/>
        <v>50979.87738417997</v>
      </c>
      <c r="S83" s="2" t="str">
        <f t="shared" si="7"/>
        <v>Positive residual - actual above prediction</v>
      </c>
      <c r="T83" s="2"/>
      <c r="U83" s="2"/>
      <c r="V83" s="2"/>
    </row>
    <row r="84" spans="1:22" x14ac:dyDescent="0.35">
      <c r="A84" s="2" t="str">
        <f>Dummy_Variables!A84</f>
        <v>STR-1021</v>
      </c>
      <c r="B84" s="2" t="str">
        <f>Dummy_Variables!B84</f>
        <v>2025-03</v>
      </c>
      <c r="C84" s="2" t="str">
        <f>Dummy_Variables!C84</f>
        <v>West</v>
      </c>
      <c r="D84" s="2" t="str">
        <f>Dummy_Variables!D84</f>
        <v>Mall</v>
      </c>
      <c r="E84" s="7">
        <f>Dummy_Variables!E84</f>
        <v>727241.86</v>
      </c>
      <c r="F84" s="7">
        <f>Dummy_Variables!F84</f>
        <v>72731.14</v>
      </c>
      <c r="G84" s="7">
        <f>Dummy_Variables!G84</f>
        <v>4644</v>
      </c>
      <c r="H84" s="7">
        <f>Dummy_Variables!H84</f>
        <v>8.4000000000000005E-2</v>
      </c>
      <c r="I84" s="7">
        <f>Dummy_Variables!I84</f>
        <v>15</v>
      </c>
      <c r="J84" s="7">
        <f>Dummy_Variables!J84</f>
        <v>87.1</v>
      </c>
      <c r="K84" s="2">
        <f>Dummy_Variables!K84</f>
        <v>0</v>
      </c>
      <c r="L84" s="7">
        <f>Dummy_Variables!L84</f>
        <v>4.5999999999999996</v>
      </c>
      <c r="M84" s="2">
        <f>Dummy_Variables!M84</f>
        <v>0</v>
      </c>
      <c r="N84" s="2">
        <f>Dummy_Variables!N84</f>
        <v>0</v>
      </c>
      <c r="O84" s="2">
        <f>Dummy_Variables!O84</f>
        <v>1</v>
      </c>
      <c r="P84" s="7">
        <f t="shared" si="4"/>
        <v>658009.15935674275</v>
      </c>
      <c r="Q84" s="7">
        <f t="shared" si="5"/>
        <v>69232.700643257238</v>
      </c>
      <c r="R84" s="7">
        <f t="shared" si="6"/>
        <v>69232.700643257238</v>
      </c>
      <c r="S84" s="2" t="str">
        <f t="shared" si="7"/>
        <v>Positive residual - actual above prediction</v>
      </c>
      <c r="T84" s="2"/>
      <c r="U84" s="2"/>
      <c r="V84" s="2"/>
    </row>
    <row r="85" spans="1:22" x14ac:dyDescent="0.35">
      <c r="A85" s="2" t="str">
        <f>Dummy_Variables!A85</f>
        <v>STR-1021</v>
      </c>
      <c r="B85" s="2" t="str">
        <f>Dummy_Variables!B85</f>
        <v>2025-04</v>
      </c>
      <c r="C85" s="2" t="str">
        <f>Dummy_Variables!C85</f>
        <v>West</v>
      </c>
      <c r="D85" s="2" t="str">
        <f>Dummy_Variables!D85</f>
        <v>Mall</v>
      </c>
      <c r="E85" s="7">
        <f>Dummy_Variables!E85</f>
        <v>569100.78</v>
      </c>
      <c r="F85" s="7">
        <f>Dummy_Variables!F85</f>
        <v>36475.71</v>
      </c>
      <c r="G85" s="7">
        <f>Dummy_Variables!G85</f>
        <v>3559</v>
      </c>
      <c r="H85" s="7">
        <f>Dummy_Variables!H85</f>
        <v>0.03</v>
      </c>
      <c r="I85" s="7">
        <f>Dummy_Variables!I85</f>
        <v>8</v>
      </c>
      <c r="J85" s="7">
        <f>Dummy_Variables!J85</f>
        <v>83.6</v>
      </c>
      <c r="K85" s="2">
        <f>Dummy_Variables!K85</f>
        <v>0</v>
      </c>
      <c r="L85" s="7">
        <f>Dummy_Variables!L85</f>
        <v>4.2</v>
      </c>
      <c r="M85" s="2">
        <f>Dummy_Variables!M85</f>
        <v>0</v>
      </c>
      <c r="N85" s="2">
        <f>Dummy_Variables!N85</f>
        <v>0</v>
      </c>
      <c r="O85" s="2">
        <f>Dummy_Variables!O85</f>
        <v>1</v>
      </c>
      <c r="P85" s="7">
        <f t="shared" si="4"/>
        <v>553250.34671199287</v>
      </c>
      <c r="Q85" s="7">
        <f t="shared" si="5"/>
        <v>15850.43328800716</v>
      </c>
      <c r="R85" s="7">
        <f t="shared" si="6"/>
        <v>15850.43328800716</v>
      </c>
      <c r="S85" s="2" t="str">
        <f t="shared" si="7"/>
        <v>Positive residual - actual above prediction</v>
      </c>
      <c r="T85" s="2"/>
      <c r="U85" s="2"/>
      <c r="V85" s="2"/>
    </row>
    <row r="86" spans="1:22" x14ac:dyDescent="0.35">
      <c r="A86" s="2" t="str">
        <f>Dummy_Variables!A86</f>
        <v>STR-1022</v>
      </c>
      <c r="B86" s="2" t="str">
        <f>Dummy_Variables!B86</f>
        <v>2025-01</v>
      </c>
      <c r="C86" s="2" t="str">
        <f>Dummy_Variables!C86</f>
        <v>West</v>
      </c>
      <c r="D86" s="2" t="str">
        <f>Dummy_Variables!D86</f>
        <v>High Street</v>
      </c>
      <c r="E86" s="7">
        <f>Dummy_Variables!E86</f>
        <v>574436.29</v>
      </c>
      <c r="F86" s="7">
        <f>Dummy_Variables!F86</f>
        <v>55388.11</v>
      </c>
      <c r="G86" s="7">
        <f>Dummy_Variables!G86</f>
        <v>3091</v>
      </c>
      <c r="H86" s="7">
        <f>Dummy_Variables!H86</f>
        <v>0.108</v>
      </c>
      <c r="I86" s="7">
        <f>Dummy_Variables!I86</f>
        <v>7</v>
      </c>
      <c r="J86" s="7">
        <f>Dummy_Variables!J86</f>
        <v>85.4</v>
      </c>
      <c r="K86" s="2">
        <f>Dummy_Variables!K86</f>
        <v>0</v>
      </c>
      <c r="L86" s="7">
        <f>Dummy_Variables!L86</f>
        <v>4.9000000000000004</v>
      </c>
      <c r="M86" s="2">
        <f>Dummy_Variables!M86</f>
        <v>0</v>
      </c>
      <c r="N86" s="2">
        <f>Dummy_Variables!N86</f>
        <v>1</v>
      </c>
      <c r="O86" s="2">
        <f>Dummy_Variables!O86</f>
        <v>0</v>
      </c>
      <c r="P86" s="7">
        <f t="shared" si="4"/>
        <v>559396.52402608038</v>
      </c>
      <c r="Q86" s="7">
        <f t="shared" si="5"/>
        <v>15039.765973919653</v>
      </c>
      <c r="R86" s="7">
        <f t="shared" si="6"/>
        <v>15039.765973919653</v>
      </c>
      <c r="S86" s="2" t="str">
        <f t="shared" si="7"/>
        <v>Positive residual - actual above prediction</v>
      </c>
      <c r="T86" s="2"/>
      <c r="U86" s="2"/>
      <c r="V86" s="2"/>
    </row>
    <row r="87" spans="1:22" x14ac:dyDescent="0.35">
      <c r="A87" s="2" t="str">
        <f>Dummy_Variables!A87</f>
        <v>STR-1022</v>
      </c>
      <c r="B87" s="2" t="str">
        <f>Dummy_Variables!B87</f>
        <v>2025-02</v>
      </c>
      <c r="C87" s="2" t="str">
        <f>Dummy_Variables!C87</f>
        <v>West</v>
      </c>
      <c r="D87" s="2" t="str">
        <f>Dummy_Variables!D87</f>
        <v>High Street</v>
      </c>
      <c r="E87" s="7">
        <f>Dummy_Variables!E87</f>
        <v>611766.72</v>
      </c>
      <c r="F87" s="7">
        <f>Dummy_Variables!F87</f>
        <v>88443.77</v>
      </c>
      <c r="G87" s="7">
        <f>Dummy_Variables!G87</f>
        <v>4004</v>
      </c>
      <c r="H87" s="7">
        <f>Dummy_Variables!H87</f>
        <v>0.20599999999999999</v>
      </c>
      <c r="I87" s="7">
        <f>Dummy_Variables!I87</f>
        <v>11</v>
      </c>
      <c r="J87" s="7">
        <f>Dummy_Variables!J87</f>
        <v>91.9</v>
      </c>
      <c r="K87" s="2">
        <f>Dummy_Variables!K87</f>
        <v>0</v>
      </c>
      <c r="L87" s="7">
        <f>Dummy_Variables!L87</f>
        <v>0</v>
      </c>
      <c r="M87" s="2">
        <f>Dummy_Variables!M87</f>
        <v>0</v>
      </c>
      <c r="N87" s="2">
        <f>Dummy_Variables!N87</f>
        <v>1</v>
      </c>
      <c r="O87" s="2">
        <f>Dummy_Variables!O87</f>
        <v>0</v>
      </c>
      <c r="P87" s="7">
        <f t="shared" si="4"/>
        <v>584350.64975544892</v>
      </c>
      <c r="Q87" s="7">
        <f t="shared" si="5"/>
        <v>27416.070244551054</v>
      </c>
      <c r="R87" s="7">
        <f t="shared" si="6"/>
        <v>27416.070244551054</v>
      </c>
      <c r="S87" s="2" t="str">
        <f t="shared" si="7"/>
        <v>Positive residual - actual above prediction</v>
      </c>
      <c r="T87" s="2"/>
      <c r="U87" s="2"/>
      <c r="V87" s="2"/>
    </row>
    <row r="88" spans="1:22" x14ac:dyDescent="0.35">
      <c r="A88" s="2" t="str">
        <f>Dummy_Variables!A88</f>
        <v>STR-1022</v>
      </c>
      <c r="B88" s="2" t="str">
        <f>Dummy_Variables!B88</f>
        <v>2025-03</v>
      </c>
      <c r="C88" s="2" t="str">
        <f>Dummy_Variables!C88</f>
        <v>West</v>
      </c>
      <c r="D88" s="2" t="str">
        <f>Dummy_Variables!D88</f>
        <v>High Street</v>
      </c>
      <c r="E88" s="7">
        <f>Dummy_Variables!E88</f>
        <v>614596.31999999995</v>
      </c>
      <c r="F88" s="7">
        <f>Dummy_Variables!F88</f>
        <v>78231.91</v>
      </c>
      <c r="G88" s="7">
        <f>Dummy_Variables!G88</f>
        <v>3788</v>
      </c>
      <c r="H88" s="7">
        <f>Dummy_Variables!H88</f>
        <v>5.8999999999999997E-2</v>
      </c>
      <c r="I88" s="7">
        <f>Dummy_Variables!I88</f>
        <v>11</v>
      </c>
      <c r="J88" s="7">
        <f>Dummy_Variables!J88</f>
        <v>88.5</v>
      </c>
      <c r="K88" s="2">
        <f>Dummy_Variables!K88</f>
        <v>0</v>
      </c>
      <c r="L88" s="7">
        <f>Dummy_Variables!L88</f>
        <v>4.3</v>
      </c>
      <c r="M88" s="2">
        <f>Dummy_Variables!M88</f>
        <v>0</v>
      </c>
      <c r="N88" s="2">
        <f>Dummy_Variables!N88</f>
        <v>1</v>
      </c>
      <c r="O88" s="2">
        <f>Dummy_Variables!O88</f>
        <v>0</v>
      </c>
      <c r="P88" s="7">
        <f t="shared" si="4"/>
        <v>621665.36067997047</v>
      </c>
      <c r="Q88" s="7">
        <f t="shared" si="5"/>
        <v>-7069.0406799705233</v>
      </c>
      <c r="R88" s="7">
        <f t="shared" si="6"/>
        <v>7069.0406799705233</v>
      </c>
      <c r="S88" s="2" t="str">
        <f t="shared" si="7"/>
        <v>Negative residual - actual below prediction</v>
      </c>
      <c r="T88" s="2"/>
      <c r="U88" s="2"/>
      <c r="V88" s="2"/>
    </row>
    <row r="89" spans="1:22" x14ac:dyDescent="0.35">
      <c r="A89" s="2" t="str">
        <f>Dummy_Variables!A89</f>
        <v>STR-1022</v>
      </c>
      <c r="B89" s="2" t="str">
        <f>Dummy_Variables!B89</f>
        <v>2025-04</v>
      </c>
      <c r="C89" s="2" t="str">
        <f>Dummy_Variables!C89</f>
        <v>West</v>
      </c>
      <c r="D89" s="2" t="str">
        <f>Dummy_Variables!D89</f>
        <v>High Street</v>
      </c>
      <c r="E89" s="7">
        <f>Dummy_Variables!E89</f>
        <v>450711.92</v>
      </c>
      <c r="F89" s="7">
        <f>Dummy_Variables!F89</f>
        <v>18996.32</v>
      </c>
      <c r="G89" s="7">
        <f>Dummy_Variables!G89</f>
        <v>1260</v>
      </c>
      <c r="H89" s="7">
        <f>Dummy_Variables!H89</f>
        <v>0.14499999999999999</v>
      </c>
      <c r="I89" s="7">
        <f>Dummy_Variables!I89</f>
        <v>9</v>
      </c>
      <c r="J89" s="7">
        <f>Dummy_Variables!J89</f>
        <v>86.4</v>
      </c>
      <c r="K89" s="2">
        <f>Dummy_Variables!K89</f>
        <v>0</v>
      </c>
      <c r="L89" s="7">
        <f>Dummy_Variables!L89</f>
        <v>4.5999999999999996</v>
      </c>
      <c r="M89" s="2">
        <f>Dummy_Variables!M89</f>
        <v>0</v>
      </c>
      <c r="N89" s="2">
        <f>Dummy_Variables!N89</f>
        <v>1</v>
      </c>
      <c r="O89" s="2">
        <f>Dummy_Variables!O89</f>
        <v>0</v>
      </c>
      <c r="P89" s="7">
        <f t="shared" si="4"/>
        <v>467629.92541608069</v>
      </c>
      <c r="Q89" s="7">
        <f t="shared" si="5"/>
        <v>-16918.005416080705</v>
      </c>
      <c r="R89" s="7">
        <f t="shared" si="6"/>
        <v>16918.005416080705</v>
      </c>
      <c r="S89" s="2" t="str">
        <f t="shared" si="7"/>
        <v>Negative residual - actual below prediction</v>
      </c>
      <c r="T89" s="2"/>
      <c r="U89" s="2"/>
      <c r="V89" s="2"/>
    </row>
    <row r="90" spans="1:22" x14ac:dyDescent="0.35">
      <c r="A90" s="2" t="str">
        <f>Dummy_Variables!A90</f>
        <v>STR-1023</v>
      </c>
      <c r="B90" s="2" t="str">
        <f>Dummy_Variables!B90</f>
        <v>2025-01</v>
      </c>
      <c r="C90" s="2" t="str">
        <f>Dummy_Variables!C90</f>
        <v>South</v>
      </c>
      <c r="D90" s="2" t="str">
        <f>Dummy_Variables!D90</f>
        <v>Mall</v>
      </c>
      <c r="E90" s="7">
        <f>Dummy_Variables!E90</f>
        <v>711213.46</v>
      </c>
      <c r="F90" s="7">
        <f>Dummy_Variables!F90</f>
        <v>50517.94</v>
      </c>
      <c r="G90" s="7">
        <f>Dummy_Variables!G90</f>
        <v>7024</v>
      </c>
      <c r="H90" s="7">
        <f>Dummy_Variables!H90</f>
        <v>2.9000000000000001E-2</v>
      </c>
      <c r="I90" s="7">
        <f>Dummy_Variables!I90</f>
        <v>18</v>
      </c>
      <c r="J90" s="7">
        <f>Dummy_Variables!J90</f>
        <v>79.2</v>
      </c>
      <c r="K90" s="2">
        <f>Dummy_Variables!K90</f>
        <v>1</v>
      </c>
      <c r="L90" s="7">
        <f>Dummy_Variables!L90</f>
        <v>4.0999999999999996</v>
      </c>
      <c r="M90" s="2">
        <f>Dummy_Variables!M90</f>
        <v>0</v>
      </c>
      <c r="N90" s="2">
        <f>Dummy_Variables!N90</f>
        <v>0</v>
      </c>
      <c r="O90" s="2">
        <f>Dummy_Variables!O90</f>
        <v>1</v>
      </c>
      <c r="P90" s="7">
        <f t="shared" si="4"/>
        <v>693608.84220941062</v>
      </c>
      <c r="Q90" s="7">
        <f t="shared" si="5"/>
        <v>17604.617790589342</v>
      </c>
      <c r="R90" s="7">
        <f t="shared" si="6"/>
        <v>17604.617790589342</v>
      </c>
      <c r="S90" s="2" t="str">
        <f t="shared" si="7"/>
        <v>Positive residual - actual above prediction</v>
      </c>
      <c r="T90" s="2"/>
      <c r="U90" s="2"/>
      <c r="V90" s="2"/>
    </row>
    <row r="91" spans="1:22" x14ac:dyDescent="0.35">
      <c r="A91" s="2" t="str">
        <f>Dummy_Variables!A91</f>
        <v>STR-1023</v>
      </c>
      <c r="B91" s="2" t="str">
        <f>Dummy_Variables!B91</f>
        <v>2025-02</v>
      </c>
      <c r="C91" s="2" t="str">
        <f>Dummy_Variables!C91</f>
        <v>South</v>
      </c>
      <c r="D91" s="2" t="str">
        <f>Dummy_Variables!D91</f>
        <v>Mall</v>
      </c>
      <c r="E91" s="7">
        <f>Dummy_Variables!E91</f>
        <v>627171.9</v>
      </c>
      <c r="F91" s="7">
        <f>Dummy_Variables!F91</f>
        <v>141540.29</v>
      </c>
      <c r="G91" s="7">
        <f>Dummy_Variables!G91</f>
        <v>5400</v>
      </c>
      <c r="H91" s="7">
        <f>Dummy_Variables!H91</f>
        <v>1.2999999999999999E-2</v>
      </c>
      <c r="I91" s="7">
        <f>Dummy_Variables!I91</f>
        <v>12</v>
      </c>
      <c r="J91" s="7">
        <f>Dummy_Variables!J91</f>
        <v>87</v>
      </c>
      <c r="K91" s="2">
        <f>Dummy_Variables!K91</f>
        <v>0</v>
      </c>
      <c r="L91" s="7">
        <f>Dummy_Variables!L91</f>
        <v>4.5</v>
      </c>
      <c r="M91" s="2">
        <f>Dummy_Variables!M91</f>
        <v>0</v>
      </c>
      <c r="N91" s="2">
        <f>Dummy_Variables!N91</f>
        <v>0</v>
      </c>
      <c r="O91" s="2">
        <f>Dummy_Variables!O91</f>
        <v>1</v>
      </c>
      <c r="P91" s="7">
        <f t="shared" si="4"/>
        <v>753631.4254068291</v>
      </c>
      <c r="Q91" s="7">
        <f t="shared" si="5"/>
        <v>-126459.52540682908</v>
      </c>
      <c r="R91" s="7">
        <f t="shared" si="6"/>
        <v>126459.52540682908</v>
      </c>
      <c r="S91" s="2" t="str">
        <f t="shared" si="7"/>
        <v>Negative residual - actual below prediction</v>
      </c>
      <c r="T91" s="2"/>
      <c r="U91" s="2"/>
      <c r="V91" s="2"/>
    </row>
    <row r="92" spans="1:22" x14ac:dyDescent="0.35">
      <c r="A92" s="2" t="str">
        <f>Dummy_Variables!A92</f>
        <v>STR-1023</v>
      </c>
      <c r="B92" s="2" t="str">
        <f>Dummy_Variables!B92</f>
        <v>2025-03</v>
      </c>
      <c r="C92" s="2" t="str">
        <f>Dummy_Variables!C92</f>
        <v>South</v>
      </c>
      <c r="D92" s="2" t="str">
        <f>Dummy_Variables!D92</f>
        <v>Mall</v>
      </c>
      <c r="E92" s="7">
        <f>Dummy_Variables!E92</f>
        <v>739852.58</v>
      </c>
      <c r="F92" s="7">
        <f>Dummy_Variables!F92</f>
        <v>82116.19</v>
      </c>
      <c r="G92" s="7">
        <f>Dummy_Variables!G92</f>
        <v>5988</v>
      </c>
      <c r="H92" s="7">
        <f>Dummy_Variables!H92</f>
        <v>0.04</v>
      </c>
      <c r="I92" s="7">
        <f>Dummy_Variables!I92</f>
        <v>17</v>
      </c>
      <c r="J92" s="7">
        <f>Dummy_Variables!J92</f>
        <v>91.8</v>
      </c>
      <c r="K92" s="2">
        <f>Dummy_Variables!K92</f>
        <v>0</v>
      </c>
      <c r="L92" s="7">
        <f>Dummy_Variables!L92</f>
        <v>4.7</v>
      </c>
      <c r="M92" s="2">
        <f>Dummy_Variables!M92</f>
        <v>0</v>
      </c>
      <c r="N92" s="2">
        <f>Dummy_Variables!N92</f>
        <v>0</v>
      </c>
      <c r="O92" s="2">
        <f>Dummy_Variables!O92</f>
        <v>1</v>
      </c>
      <c r="P92" s="7">
        <f t="shared" si="4"/>
        <v>731049.23807833961</v>
      </c>
      <c r="Q92" s="7">
        <f t="shared" si="5"/>
        <v>8803.3419216603506</v>
      </c>
      <c r="R92" s="7">
        <f t="shared" si="6"/>
        <v>8803.3419216603506</v>
      </c>
      <c r="S92" s="2" t="str">
        <f t="shared" si="7"/>
        <v>Positive residual - actual above prediction</v>
      </c>
      <c r="T92" s="2"/>
      <c r="U92" s="2"/>
      <c r="V92" s="2"/>
    </row>
    <row r="93" spans="1:22" x14ac:dyDescent="0.35">
      <c r="A93" s="2" t="str">
        <f>Dummy_Variables!A93</f>
        <v>STR-1023</v>
      </c>
      <c r="B93" s="2" t="str">
        <f>Dummy_Variables!B93</f>
        <v>2025-04</v>
      </c>
      <c r="C93" s="2" t="str">
        <f>Dummy_Variables!C93</f>
        <v>South</v>
      </c>
      <c r="D93" s="2" t="str">
        <f>Dummy_Variables!D93</f>
        <v>Mall</v>
      </c>
      <c r="E93" s="7">
        <f>Dummy_Variables!E93</f>
        <v>586307.22</v>
      </c>
      <c r="F93" s="7">
        <f>Dummy_Variables!F93</f>
        <v>31207.51</v>
      </c>
      <c r="G93" s="7">
        <f>Dummy_Variables!G93</f>
        <v>3701</v>
      </c>
      <c r="H93" s="7">
        <f>Dummy_Variables!H93</f>
        <v>4.2999999999999997E-2</v>
      </c>
      <c r="I93" s="7">
        <f>Dummy_Variables!I93</f>
        <v>11</v>
      </c>
      <c r="J93" s="7">
        <f>Dummy_Variables!J93</f>
        <v>84.7</v>
      </c>
      <c r="K93" s="2">
        <f>Dummy_Variables!K93</f>
        <v>0</v>
      </c>
      <c r="L93" s="7">
        <f>Dummy_Variables!L93</f>
        <v>4.3</v>
      </c>
      <c r="M93" s="2">
        <f>Dummy_Variables!M93</f>
        <v>0</v>
      </c>
      <c r="N93" s="2">
        <f>Dummy_Variables!N93</f>
        <v>0</v>
      </c>
      <c r="O93" s="2">
        <f>Dummy_Variables!O93</f>
        <v>1</v>
      </c>
      <c r="P93" s="7">
        <f t="shared" si="4"/>
        <v>563434.003403418</v>
      </c>
      <c r="Q93" s="7">
        <f t="shared" si="5"/>
        <v>22873.216596581973</v>
      </c>
      <c r="R93" s="7">
        <f t="shared" si="6"/>
        <v>22873.216596581973</v>
      </c>
      <c r="S93" s="2" t="str">
        <f t="shared" si="7"/>
        <v>Positive residual - actual above prediction</v>
      </c>
      <c r="T93" s="2"/>
      <c r="U93" s="2"/>
      <c r="V93" s="2"/>
    </row>
    <row r="94" spans="1:22" x14ac:dyDescent="0.35">
      <c r="A94" s="2" t="str">
        <f>Dummy_Variables!A94</f>
        <v>STR-1024</v>
      </c>
      <c r="B94" s="2" t="str">
        <f>Dummy_Variables!B94</f>
        <v>2025-01</v>
      </c>
      <c r="C94" s="2" t="str">
        <f>Dummy_Variables!C94</f>
        <v>West</v>
      </c>
      <c r="D94" s="2" t="str">
        <f>Dummy_Variables!D94</f>
        <v>Residential</v>
      </c>
      <c r="E94" s="7">
        <f>Dummy_Variables!E94</f>
        <v>585937.48</v>
      </c>
      <c r="F94" s="7">
        <f>Dummy_Variables!F94</f>
        <v>38966.589999999997</v>
      </c>
      <c r="G94" s="7">
        <f>Dummy_Variables!G94</f>
        <v>4509</v>
      </c>
      <c r="H94" s="7">
        <f>Dummy_Variables!H94</f>
        <v>0.19400000000000001</v>
      </c>
      <c r="I94" s="7">
        <f>Dummy_Variables!I94</f>
        <v>14</v>
      </c>
      <c r="J94" s="7">
        <f>Dummy_Variables!J94</f>
        <v>91.1</v>
      </c>
      <c r="K94" s="2">
        <f>Dummy_Variables!K94</f>
        <v>0</v>
      </c>
      <c r="L94" s="7">
        <f>Dummy_Variables!L94</f>
        <v>4.5999999999999996</v>
      </c>
      <c r="M94" s="2">
        <f>Dummy_Variables!M94</f>
        <v>0</v>
      </c>
      <c r="N94" s="2">
        <f>Dummy_Variables!N94</f>
        <v>0</v>
      </c>
      <c r="O94" s="2">
        <f>Dummy_Variables!O94</f>
        <v>0</v>
      </c>
      <c r="P94" s="7">
        <f t="shared" si="4"/>
        <v>590191.03681897453</v>
      </c>
      <c r="Q94" s="7">
        <f t="shared" si="5"/>
        <v>-4253.5568189745536</v>
      </c>
      <c r="R94" s="7">
        <f t="shared" si="6"/>
        <v>4253.5568189745536</v>
      </c>
      <c r="S94" s="2" t="str">
        <f t="shared" si="7"/>
        <v>Negative residual - actual below prediction</v>
      </c>
      <c r="T94" s="2"/>
      <c r="U94" s="2"/>
      <c r="V94" s="2"/>
    </row>
    <row r="95" spans="1:22" x14ac:dyDescent="0.35">
      <c r="A95" s="2" t="str">
        <f>Dummy_Variables!A95</f>
        <v>STR-1024</v>
      </c>
      <c r="B95" s="2" t="str">
        <f>Dummy_Variables!B95</f>
        <v>2025-02</v>
      </c>
      <c r="C95" s="2" t="str">
        <f>Dummy_Variables!C95</f>
        <v>West</v>
      </c>
      <c r="D95" s="2" t="str">
        <f>Dummy_Variables!D95</f>
        <v>Residential</v>
      </c>
      <c r="E95" s="7">
        <f>Dummy_Variables!E95</f>
        <v>753473.55</v>
      </c>
      <c r="F95" s="7">
        <f>Dummy_Variables!F95</f>
        <v>67439.3</v>
      </c>
      <c r="G95" s="7">
        <f>Dummy_Variables!G95</f>
        <v>6477</v>
      </c>
      <c r="H95" s="7">
        <f>Dummy_Variables!H95</f>
        <v>0</v>
      </c>
      <c r="I95" s="7">
        <f>Dummy_Variables!I95</f>
        <v>16</v>
      </c>
      <c r="J95" s="7">
        <f>Dummy_Variables!J95</f>
        <v>90.9</v>
      </c>
      <c r="K95" s="2">
        <f>Dummy_Variables!K95</f>
        <v>0</v>
      </c>
      <c r="L95" s="7">
        <f>Dummy_Variables!L95</f>
        <v>4.5</v>
      </c>
      <c r="M95" s="2">
        <f>Dummy_Variables!M95</f>
        <v>0</v>
      </c>
      <c r="N95" s="2">
        <f>Dummy_Variables!N95</f>
        <v>0</v>
      </c>
      <c r="O95" s="2">
        <f>Dummy_Variables!O95</f>
        <v>0</v>
      </c>
      <c r="P95" s="7">
        <f t="shared" si="4"/>
        <v>695455.65066013299</v>
      </c>
      <c r="Q95" s="7">
        <f t="shared" si="5"/>
        <v>58017.899339867057</v>
      </c>
      <c r="R95" s="7">
        <f t="shared" si="6"/>
        <v>58017.899339867057</v>
      </c>
      <c r="S95" s="2" t="str">
        <f t="shared" si="7"/>
        <v>Positive residual - actual above prediction</v>
      </c>
      <c r="T95" s="2"/>
      <c r="U95" s="2"/>
      <c r="V95" s="2"/>
    </row>
    <row r="96" spans="1:22" x14ac:dyDescent="0.35">
      <c r="A96" s="2" t="str">
        <f>Dummy_Variables!A96</f>
        <v>STR-1024</v>
      </c>
      <c r="B96" s="2" t="str">
        <f>Dummy_Variables!B96</f>
        <v>2025-03</v>
      </c>
      <c r="C96" s="2" t="str">
        <f>Dummy_Variables!C96</f>
        <v>West</v>
      </c>
      <c r="D96" s="2" t="str">
        <f>Dummy_Variables!D96</f>
        <v>Residential</v>
      </c>
      <c r="E96" s="7">
        <f>Dummy_Variables!E96</f>
        <v>838250.32</v>
      </c>
      <c r="F96" s="7">
        <f>Dummy_Variables!F96</f>
        <v>86421.88</v>
      </c>
      <c r="G96" s="7">
        <f>Dummy_Variables!G96</f>
        <v>7970</v>
      </c>
      <c r="H96" s="7">
        <f>Dummy_Variables!H96</f>
        <v>7.2999999999999995E-2</v>
      </c>
      <c r="I96" s="7">
        <f>Dummy_Variables!I96</f>
        <v>17</v>
      </c>
      <c r="J96" s="7">
        <f>Dummy_Variables!J96</f>
        <v>91.3</v>
      </c>
      <c r="K96" s="2">
        <f>Dummy_Variables!K96</f>
        <v>0</v>
      </c>
      <c r="L96" s="7">
        <f>Dummy_Variables!L96</f>
        <v>5</v>
      </c>
      <c r="M96" s="2">
        <f>Dummy_Variables!M96</f>
        <v>0</v>
      </c>
      <c r="N96" s="2">
        <f>Dummy_Variables!N96</f>
        <v>0</v>
      </c>
      <c r="O96" s="2">
        <f>Dummy_Variables!O96</f>
        <v>0</v>
      </c>
      <c r="P96" s="7">
        <f t="shared" si="4"/>
        <v>765595.139958516</v>
      </c>
      <c r="Q96" s="7">
        <f t="shared" si="5"/>
        <v>72655.180041483953</v>
      </c>
      <c r="R96" s="7">
        <f t="shared" si="6"/>
        <v>72655.180041483953</v>
      </c>
      <c r="S96" s="2" t="str">
        <f t="shared" si="7"/>
        <v>Positive residual - actual above prediction</v>
      </c>
      <c r="T96" s="2"/>
      <c r="U96" s="2"/>
      <c r="V96" s="2"/>
    </row>
    <row r="97" spans="1:22" x14ac:dyDescent="0.35">
      <c r="A97" s="2" t="str">
        <f>Dummy_Variables!A97</f>
        <v>STR-1024</v>
      </c>
      <c r="B97" s="2" t="str">
        <f>Dummy_Variables!B97</f>
        <v>2025-04</v>
      </c>
      <c r="C97" s="2" t="str">
        <f>Dummy_Variables!C97</f>
        <v>West</v>
      </c>
      <c r="D97" s="2" t="str">
        <f>Dummy_Variables!D97</f>
        <v>Residential</v>
      </c>
      <c r="E97" s="7">
        <f>Dummy_Variables!E97</f>
        <v>607898.12</v>
      </c>
      <c r="F97" s="7">
        <f>Dummy_Variables!F97</f>
        <v>9534.65</v>
      </c>
      <c r="G97" s="7">
        <f>Dummy_Variables!G97</f>
        <v>6057</v>
      </c>
      <c r="H97" s="7">
        <f>Dummy_Variables!H97</f>
        <v>7.3999999999999996E-2</v>
      </c>
      <c r="I97" s="7">
        <f>Dummy_Variables!I97</f>
        <v>15</v>
      </c>
      <c r="J97" s="7">
        <f>Dummy_Variables!J97</f>
        <v>94.1</v>
      </c>
      <c r="K97" s="2">
        <f>Dummy_Variables!K97</f>
        <v>0</v>
      </c>
      <c r="L97" s="7">
        <f>Dummy_Variables!L97</f>
        <v>4.5</v>
      </c>
      <c r="M97" s="2">
        <f>Dummy_Variables!M97</f>
        <v>0</v>
      </c>
      <c r="N97" s="2">
        <f>Dummy_Variables!N97</f>
        <v>0</v>
      </c>
      <c r="O97" s="2">
        <f>Dummy_Variables!O97</f>
        <v>0</v>
      </c>
      <c r="P97" s="7">
        <f t="shared" si="4"/>
        <v>618547.524871581</v>
      </c>
      <c r="Q97" s="7">
        <f t="shared" si="5"/>
        <v>-10649.404871581006</v>
      </c>
      <c r="R97" s="7">
        <f t="shared" si="6"/>
        <v>10649.404871581006</v>
      </c>
      <c r="S97" s="2" t="str">
        <f t="shared" si="7"/>
        <v>Negative residual - actual below prediction</v>
      </c>
      <c r="T97" s="2"/>
      <c r="U97" s="2"/>
      <c r="V97" s="2"/>
    </row>
    <row r="98" spans="1:22" x14ac:dyDescent="0.35">
      <c r="A98" s="2" t="str">
        <f>Dummy_Variables!A98</f>
        <v>STR-1025</v>
      </c>
      <c r="B98" s="2" t="str">
        <f>Dummy_Variables!B98</f>
        <v>2025-01</v>
      </c>
      <c r="C98" s="2" t="str">
        <f>Dummy_Variables!C98</f>
        <v>West</v>
      </c>
      <c r="D98" s="2" t="str">
        <f>Dummy_Variables!D98</f>
        <v>Mall</v>
      </c>
      <c r="E98" s="7">
        <f>Dummy_Variables!E98</f>
        <v>691113.62</v>
      </c>
      <c r="F98" s="7">
        <f>Dummy_Variables!F98</f>
        <v>61132.07</v>
      </c>
      <c r="G98" s="7">
        <f>Dummy_Variables!G98</f>
        <v>6394</v>
      </c>
      <c r="H98" s="7">
        <f>Dummy_Variables!H98</f>
        <v>0.16300000000000001</v>
      </c>
      <c r="I98" s="7">
        <f>Dummy_Variables!I98</f>
        <v>19</v>
      </c>
      <c r="J98" s="7">
        <f>Dummy_Variables!J98</f>
        <v>91</v>
      </c>
      <c r="K98" s="2">
        <f>Dummy_Variables!K98</f>
        <v>0</v>
      </c>
      <c r="L98" s="7">
        <f>Dummy_Variables!L98</f>
        <v>4.4000000000000004</v>
      </c>
      <c r="M98" s="2">
        <f>Dummy_Variables!M98</f>
        <v>0</v>
      </c>
      <c r="N98" s="2">
        <f>Dummy_Variables!N98</f>
        <v>0</v>
      </c>
      <c r="O98" s="2">
        <f>Dummy_Variables!O98</f>
        <v>1</v>
      </c>
      <c r="P98" s="7">
        <f t="shared" si="4"/>
        <v>709617.43741644092</v>
      </c>
      <c r="Q98" s="7">
        <f t="shared" si="5"/>
        <v>-18503.817416440928</v>
      </c>
      <c r="R98" s="7">
        <f t="shared" si="6"/>
        <v>18503.817416440928</v>
      </c>
      <c r="S98" s="2" t="str">
        <f t="shared" si="7"/>
        <v>Negative residual - actual below prediction</v>
      </c>
      <c r="T98" s="2"/>
      <c r="U98" s="2"/>
      <c r="V98" s="2"/>
    </row>
    <row r="99" spans="1:22" x14ac:dyDescent="0.35">
      <c r="A99" s="2" t="str">
        <f>Dummy_Variables!A99</f>
        <v>STR-1025</v>
      </c>
      <c r="B99" s="2" t="str">
        <f>Dummy_Variables!B99</f>
        <v>2025-02</v>
      </c>
      <c r="C99" s="2" t="str">
        <f>Dummy_Variables!C99</f>
        <v>West</v>
      </c>
      <c r="D99" s="2" t="str">
        <f>Dummy_Variables!D99</f>
        <v>Mall</v>
      </c>
      <c r="E99" s="7">
        <f>Dummy_Variables!E99</f>
        <v>735509.4</v>
      </c>
      <c r="F99" s="7">
        <f>Dummy_Variables!F99</f>
        <v>78839.39</v>
      </c>
      <c r="G99" s="7">
        <f>Dummy_Variables!G99</f>
        <v>5150</v>
      </c>
      <c r="H99" s="7">
        <f>Dummy_Variables!H99</f>
        <v>0.17100000000000001</v>
      </c>
      <c r="I99" s="7">
        <f>Dummy_Variables!I99</f>
        <v>13</v>
      </c>
      <c r="J99" s="7">
        <f>Dummy_Variables!J99</f>
        <v>85.8</v>
      </c>
      <c r="K99" s="2">
        <f>Dummy_Variables!K99</f>
        <v>0</v>
      </c>
      <c r="L99" s="7">
        <f>Dummy_Variables!L99</f>
        <v>4.3</v>
      </c>
      <c r="M99" s="2">
        <f>Dummy_Variables!M99</f>
        <v>0</v>
      </c>
      <c r="N99" s="2">
        <f>Dummy_Variables!N99</f>
        <v>0</v>
      </c>
      <c r="O99" s="2">
        <f>Dummy_Variables!O99</f>
        <v>1</v>
      </c>
      <c r="P99" s="7">
        <f t="shared" si="4"/>
        <v>660297.69341684575</v>
      </c>
      <c r="Q99" s="7">
        <f t="shared" si="5"/>
        <v>75211.706583154271</v>
      </c>
      <c r="R99" s="7">
        <f t="shared" si="6"/>
        <v>75211.706583154271</v>
      </c>
      <c r="S99" s="2" t="str">
        <f t="shared" si="7"/>
        <v>Positive residual - actual above prediction</v>
      </c>
      <c r="T99" s="2"/>
      <c r="U99" s="2"/>
      <c r="V99" s="2"/>
    </row>
    <row r="100" spans="1:22" x14ac:dyDescent="0.35">
      <c r="A100" s="2" t="str">
        <f>Dummy_Variables!A100</f>
        <v>STR-1025</v>
      </c>
      <c r="B100" s="2" t="str">
        <f>Dummy_Variables!B100</f>
        <v>2025-03</v>
      </c>
      <c r="C100" s="2" t="str">
        <f>Dummy_Variables!C100</f>
        <v>West</v>
      </c>
      <c r="D100" s="2" t="str">
        <f>Dummy_Variables!D100</f>
        <v>Mall</v>
      </c>
      <c r="E100" s="7">
        <f>Dummy_Variables!E100</f>
        <v>605775.32999999996</v>
      </c>
      <c r="F100" s="7">
        <f>Dummy_Variables!F100</f>
        <v>38752.800000000003</v>
      </c>
      <c r="G100" s="7">
        <f>Dummy_Variables!G100</f>
        <v>4712</v>
      </c>
      <c r="H100" s="7">
        <f>Dummy_Variables!H100</f>
        <v>7.4999999999999997E-2</v>
      </c>
      <c r="I100" s="7">
        <f>Dummy_Variables!I100</f>
        <v>15</v>
      </c>
      <c r="J100" s="7">
        <f>Dummy_Variables!J100</f>
        <v>89.7</v>
      </c>
      <c r="K100" s="2">
        <f>Dummy_Variables!K100</f>
        <v>0</v>
      </c>
      <c r="L100" s="7">
        <f>Dummy_Variables!L100</f>
        <v>4.3</v>
      </c>
      <c r="M100" s="2">
        <f>Dummy_Variables!M100</f>
        <v>0</v>
      </c>
      <c r="N100" s="2">
        <f>Dummy_Variables!N100</f>
        <v>0</v>
      </c>
      <c r="O100" s="2">
        <f>Dummy_Variables!O100</f>
        <v>1</v>
      </c>
      <c r="P100" s="7">
        <f t="shared" si="4"/>
        <v>625173.30660300632</v>
      </c>
      <c r="Q100" s="7">
        <f t="shared" si="5"/>
        <v>-19397.976603006362</v>
      </c>
      <c r="R100" s="7">
        <f t="shared" si="6"/>
        <v>19397.976603006362</v>
      </c>
      <c r="S100" s="2" t="str">
        <f t="shared" si="7"/>
        <v>Negative residual - actual below prediction</v>
      </c>
      <c r="T100" s="2"/>
      <c r="U100" s="2"/>
      <c r="V100" s="2"/>
    </row>
    <row r="101" spans="1:22" x14ac:dyDescent="0.35">
      <c r="A101" s="2" t="str">
        <f>Dummy_Variables!A101</f>
        <v>STR-1025</v>
      </c>
      <c r="B101" s="2" t="str">
        <f>Dummy_Variables!B101</f>
        <v>2025-04</v>
      </c>
      <c r="C101" s="2" t="str">
        <f>Dummy_Variables!C101</f>
        <v>West</v>
      </c>
      <c r="D101" s="2" t="str">
        <f>Dummy_Variables!D101</f>
        <v>Mall</v>
      </c>
      <c r="E101" s="7">
        <f>Dummy_Variables!E101</f>
        <v>675177.68</v>
      </c>
      <c r="F101" s="7">
        <f>Dummy_Variables!F101</f>
        <v>55101.1</v>
      </c>
      <c r="G101" s="7">
        <f>Dummy_Variables!G101</f>
        <v>5281</v>
      </c>
      <c r="H101" s="7">
        <f>Dummy_Variables!H101</f>
        <v>0.189</v>
      </c>
      <c r="I101" s="7">
        <f>Dummy_Variables!I101</f>
        <v>11</v>
      </c>
      <c r="J101" s="7">
        <f>Dummy_Variables!J101</f>
        <v>91</v>
      </c>
      <c r="K101" s="2">
        <f>Dummy_Variables!K101</f>
        <v>0</v>
      </c>
      <c r="L101" s="7">
        <f>Dummy_Variables!L101</f>
        <v>4.4000000000000004</v>
      </c>
      <c r="M101" s="2">
        <f>Dummy_Variables!M101</f>
        <v>0</v>
      </c>
      <c r="N101" s="2">
        <f>Dummy_Variables!N101</f>
        <v>0</v>
      </c>
      <c r="O101" s="2">
        <f>Dummy_Variables!O101</f>
        <v>1</v>
      </c>
      <c r="P101" s="7">
        <f t="shared" si="4"/>
        <v>646725.18469868542</v>
      </c>
      <c r="Q101" s="7">
        <f t="shared" si="5"/>
        <v>28452.49530131463</v>
      </c>
      <c r="R101" s="7">
        <f t="shared" si="6"/>
        <v>28452.49530131463</v>
      </c>
      <c r="S101" s="2" t="str">
        <f t="shared" si="7"/>
        <v>Positive residual - actual above prediction</v>
      </c>
      <c r="T101" s="2"/>
      <c r="U101" s="2"/>
      <c r="V101" s="2"/>
    </row>
    <row r="102" spans="1:22" x14ac:dyDescent="0.35">
      <c r="A102" s="2" t="str">
        <f>Dummy_Variables!A102</f>
        <v>STR-1026</v>
      </c>
      <c r="B102" s="2" t="str">
        <f>Dummy_Variables!B102</f>
        <v>2025-01</v>
      </c>
      <c r="C102" s="2" t="str">
        <f>Dummy_Variables!C102</f>
        <v>East</v>
      </c>
      <c r="D102" s="2" t="str">
        <f>Dummy_Variables!D102</f>
        <v>Mall</v>
      </c>
      <c r="E102" s="7">
        <f>Dummy_Variables!E102</f>
        <v>635181.35</v>
      </c>
      <c r="F102" s="7">
        <f>Dummy_Variables!F102</f>
        <v>53084.76</v>
      </c>
      <c r="G102" s="7">
        <f>Dummy_Variables!G102</f>
        <v>3642</v>
      </c>
      <c r="H102" s="7">
        <f>Dummy_Variables!H102</f>
        <v>0.15</v>
      </c>
      <c r="I102" s="7">
        <f>Dummy_Variables!I102</f>
        <v>12</v>
      </c>
      <c r="J102" s="7">
        <f>Dummy_Variables!J102</f>
        <v>91.4</v>
      </c>
      <c r="K102" s="2">
        <f>Dummy_Variables!K102</f>
        <v>0</v>
      </c>
      <c r="L102" s="7">
        <f>Dummy_Variables!L102</f>
        <v>4.4000000000000004</v>
      </c>
      <c r="M102" s="2">
        <f>Dummy_Variables!M102</f>
        <v>0</v>
      </c>
      <c r="N102" s="2">
        <f>Dummy_Variables!N102</f>
        <v>0</v>
      </c>
      <c r="O102" s="2">
        <f>Dummy_Variables!O102</f>
        <v>1</v>
      </c>
      <c r="P102" s="7">
        <f t="shared" si="4"/>
        <v>604401.06177309214</v>
      </c>
      <c r="Q102" s="7">
        <f t="shared" si="5"/>
        <v>30780.28822690784</v>
      </c>
      <c r="R102" s="7">
        <f t="shared" si="6"/>
        <v>30780.28822690784</v>
      </c>
      <c r="S102" s="2" t="str">
        <f t="shared" si="7"/>
        <v>Positive residual - actual above prediction</v>
      </c>
      <c r="T102" s="2"/>
      <c r="U102" s="2"/>
      <c r="V102" s="2"/>
    </row>
    <row r="103" spans="1:22" x14ac:dyDescent="0.35">
      <c r="A103" s="2" t="str">
        <f>Dummy_Variables!A103</f>
        <v>STR-1026</v>
      </c>
      <c r="B103" s="2" t="str">
        <f>Dummy_Variables!B103</f>
        <v>2025-02</v>
      </c>
      <c r="C103" s="2" t="str">
        <f>Dummy_Variables!C103</f>
        <v>East</v>
      </c>
      <c r="D103" s="2" t="str">
        <f>Dummy_Variables!D103</f>
        <v>Mall</v>
      </c>
      <c r="E103" s="7">
        <f>Dummy_Variables!E103</f>
        <v>586626.93999999994</v>
      </c>
      <c r="F103" s="7">
        <f>Dummy_Variables!F103</f>
        <v>63101.59</v>
      </c>
      <c r="G103" s="7">
        <f>Dummy_Variables!G103</f>
        <v>4373</v>
      </c>
      <c r="H103" s="7">
        <f>Dummy_Variables!H103</f>
        <v>0.17299999999999999</v>
      </c>
      <c r="I103" s="7">
        <f>Dummy_Variables!I103</f>
        <v>14</v>
      </c>
      <c r="J103" s="7">
        <f>Dummy_Variables!J103</f>
        <v>90.4</v>
      </c>
      <c r="K103" s="2">
        <f>Dummy_Variables!K103</f>
        <v>0</v>
      </c>
      <c r="L103" s="7">
        <f>Dummy_Variables!L103</f>
        <v>4.7</v>
      </c>
      <c r="M103" s="2">
        <f>Dummy_Variables!M103</f>
        <v>0</v>
      </c>
      <c r="N103" s="2">
        <f>Dummy_Variables!N103</f>
        <v>0</v>
      </c>
      <c r="O103" s="2">
        <f>Dummy_Variables!O103</f>
        <v>1</v>
      </c>
      <c r="P103" s="7">
        <f t="shared" si="4"/>
        <v>641787.49440891144</v>
      </c>
      <c r="Q103" s="7">
        <f t="shared" si="5"/>
        <v>-55160.554408911499</v>
      </c>
      <c r="R103" s="7">
        <f t="shared" si="6"/>
        <v>55160.554408911499</v>
      </c>
      <c r="S103" s="2" t="str">
        <f t="shared" si="7"/>
        <v>Negative residual - actual below prediction</v>
      </c>
      <c r="T103" s="2"/>
      <c r="U103" s="2"/>
      <c r="V103" s="2"/>
    </row>
    <row r="104" spans="1:22" x14ac:dyDescent="0.35">
      <c r="A104" s="2" t="str">
        <f>Dummy_Variables!A104</f>
        <v>STR-1026</v>
      </c>
      <c r="B104" s="2" t="str">
        <f>Dummy_Variables!B104</f>
        <v>2025-03</v>
      </c>
      <c r="C104" s="2" t="str">
        <f>Dummy_Variables!C104</f>
        <v>East</v>
      </c>
      <c r="D104" s="2" t="str">
        <f>Dummy_Variables!D104</f>
        <v>Mall</v>
      </c>
      <c r="E104" s="7">
        <f>Dummy_Variables!E104</f>
        <v>740102.64</v>
      </c>
      <c r="F104" s="7">
        <f>Dummy_Variables!F104</f>
        <v>90084.4</v>
      </c>
      <c r="G104" s="7">
        <f>Dummy_Variables!G104</f>
        <v>6832</v>
      </c>
      <c r="H104" s="7">
        <f>Dummy_Variables!H104</f>
        <v>0.185</v>
      </c>
      <c r="I104" s="7">
        <f>Dummy_Variables!I104</f>
        <v>14</v>
      </c>
      <c r="J104" s="7">
        <f>Dummy_Variables!J104</f>
        <v>80.5</v>
      </c>
      <c r="K104" s="2">
        <f>Dummy_Variables!K104</f>
        <v>1</v>
      </c>
      <c r="L104" s="7">
        <f>Dummy_Variables!L104</f>
        <v>4.4000000000000004</v>
      </c>
      <c r="M104" s="2">
        <f>Dummy_Variables!M104</f>
        <v>0</v>
      </c>
      <c r="N104" s="2">
        <f>Dummy_Variables!N104</f>
        <v>0</v>
      </c>
      <c r="O104" s="2">
        <f>Dummy_Variables!O104</f>
        <v>1</v>
      </c>
      <c r="P104" s="7">
        <f t="shared" si="4"/>
        <v>720247.04430316831</v>
      </c>
      <c r="Q104" s="7">
        <f t="shared" si="5"/>
        <v>19855.595696831704</v>
      </c>
      <c r="R104" s="7">
        <f t="shared" si="6"/>
        <v>19855.595696831704</v>
      </c>
      <c r="S104" s="2" t="str">
        <f t="shared" si="7"/>
        <v>Positive residual - actual above prediction</v>
      </c>
      <c r="T104" s="2"/>
      <c r="U104" s="2"/>
      <c r="V104" s="2"/>
    </row>
    <row r="105" spans="1:22" x14ac:dyDescent="0.35">
      <c r="A105" s="2" t="str">
        <f>Dummy_Variables!A105</f>
        <v>STR-1026</v>
      </c>
      <c r="B105" s="2" t="str">
        <f>Dummy_Variables!B105</f>
        <v>2025-04</v>
      </c>
      <c r="C105" s="2" t="str">
        <f>Dummy_Variables!C105</f>
        <v>East</v>
      </c>
      <c r="D105" s="2" t="str">
        <f>Dummy_Variables!D105</f>
        <v>Mall</v>
      </c>
      <c r="E105" s="7">
        <f>Dummy_Variables!E105</f>
        <v>625514.04</v>
      </c>
      <c r="F105" s="7">
        <f>Dummy_Variables!F105</f>
        <v>32266.639999999999</v>
      </c>
      <c r="G105" s="7">
        <f>Dummy_Variables!G105</f>
        <v>2414</v>
      </c>
      <c r="H105" s="7">
        <f>Dummy_Variables!H105</f>
        <v>0.08</v>
      </c>
      <c r="I105" s="7">
        <f>Dummy_Variables!I105</f>
        <v>7</v>
      </c>
      <c r="J105" s="7">
        <f>Dummy_Variables!J105</f>
        <v>92.1</v>
      </c>
      <c r="K105" s="2">
        <f>Dummy_Variables!K105</f>
        <v>0</v>
      </c>
      <c r="L105" s="7">
        <f>Dummy_Variables!L105</f>
        <v>5</v>
      </c>
      <c r="M105" s="2">
        <f>Dummy_Variables!M105</f>
        <v>0</v>
      </c>
      <c r="N105" s="2">
        <f>Dummy_Variables!N105</f>
        <v>0</v>
      </c>
      <c r="O105" s="2">
        <f>Dummy_Variables!O105</f>
        <v>1</v>
      </c>
      <c r="P105" s="7">
        <f t="shared" si="4"/>
        <v>545796.48574165057</v>
      </c>
      <c r="Q105" s="7">
        <f t="shared" si="5"/>
        <v>79717.554258349468</v>
      </c>
      <c r="R105" s="7">
        <f t="shared" si="6"/>
        <v>79717.554258349468</v>
      </c>
      <c r="S105" s="2" t="str">
        <f t="shared" si="7"/>
        <v>Positive residual - actual above prediction</v>
      </c>
      <c r="T105" s="2"/>
      <c r="U105" s="2"/>
      <c r="V105" s="2"/>
    </row>
    <row r="106" spans="1:22" x14ac:dyDescent="0.35">
      <c r="A106" s="2" t="str">
        <f>Dummy_Variables!A106</f>
        <v>STR-1027</v>
      </c>
      <c r="B106" s="2" t="str">
        <f>Dummy_Variables!B106</f>
        <v>2025-01</v>
      </c>
      <c r="C106" s="2" t="str">
        <f>Dummy_Variables!C106</f>
        <v>West</v>
      </c>
      <c r="D106" s="2" t="str">
        <f>Dummy_Variables!D106</f>
        <v>High Street</v>
      </c>
      <c r="E106" s="7">
        <f>Dummy_Variables!E106</f>
        <v>727227.2</v>
      </c>
      <c r="F106" s="7">
        <f>Dummy_Variables!F106</f>
        <v>57919.07</v>
      </c>
      <c r="G106" s="7">
        <f>Dummy_Variables!G106</f>
        <v>7374</v>
      </c>
      <c r="H106" s="7">
        <f>Dummy_Variables!H106</f>
        <v>0.10299999999999999</v>
      </c>
      <c r="I106" s="7">
        <f>Dummy_Variables!I106</f>
        <v>21</v>
      </c>
      <c r="J106" s="7">
        <f>Dummy_Variables!J106</f>
        <v>82.3</v>
      </c>
      <c r="K106" s="2">
        <f>Dummy_Variables!K106</f>
        <v>0</v>
      </c>
      <c r="L106" s="7">
        <f>Dummy_Variables!L106</f>
        <v>2.9</v>
      </c>
      <c r="M106" s="2">
        <f>Dummy_Variables!M106</f>
        <v>0</v>
      </c>
      <c r="N106" s="2">
        <f>Dummy_Variables!N106</f>
        <v>1</v>
      </c>
      <c r="O106" s="2">
        <f>Dummy_Variables!O106</f>
        <v>0</v>
      </c>
      <c r="P106" s="7">
        <f t="shared" si="4"/>
        <v>688530.95973158546</v>
      </c>
      <c r="Q106" s="7">
        <f t="shared" si="5"/>
        <v>38696.240268414491</v>
      </c>
      <c r="R106" s="7">
        <f t="shared" si="6"/>
        <v>38696.240268414491</v>
      </c>
      <c r="S106" s="2" t="str">
        <f t="shared" si="7"/>
        <v>Positive residual - actual above prediction</v>
      </c>
      <c r="T106" s="2"/>
      <c r="U106" s="2"/>
      <c r="V106" s="2"/>
    </row>
    <row r="107" spans="1:22" x14ac:dyDescent="0.35">
      <c r="A107" s="2" t="str">
        <f>Dummy_Variables!A107</f>
        <v>STR-1027</v>
      </c>
      <c r="B107" s="2" t="str">
        <f>Dummy_Variables!B107</f>
        <v>2025-02</v>
      </c>
      <c r="C107" s="2" t="str">
        <f>Dummy_Variables!C107</f>
        <v>West</v>
      </c>
      <c r="D107" s="2" t="str">
        <f>Dummy_Variables!D107</f>
        <v>High Street</v>
      </c>
      <c r="E107" s="7">
        <f>Dummy_Variables!E107</f>
        <v>783797.89</v>
      </c>
      <c r="F107" s="7">
        <f>Dummy_Variables!F107</f>
        <v>74679.350000000006</v>
      </c>
      <c r="G107" s="7">
        <f>Dummy_Variables!G107</f>
        <v>8739</v>
      </c>
      <c r="H107" s="7">
        <f>Dummy_Variables!H107</f>
        <v>5.6000000000000001E-2</v>
      </c>
      <c r="I107" s="7">
        <f>Dummy_Variables!I107</f>
        <v>21</v>
      </c>
      <c r="J107" s="7">
        <f>Dummy_Variables!J107</f>
        <v>91.8</v>
      </c>
      <c r="K107" s="2">
        <f>Dummy_Variables!K107</f>
        <v>0</v>
      </c>
      <c r="L107" s="7">
        <f>Dummy_Variables!L107</f>
        <v>3</v>
      </c>
      <c r="M107" s="2">
        <f>Dummy_Variables!M107</f>
        <v>0</v>
      </c>
      <c r="N107" s="2">
        <f>Dummy_Variables!N107</f>
        <v>1</v>
      </c>
      <c r="O107" s="2">
        <f>Dummy_Variables!O107</f>
        <v>0</v>
      </c>
      <c r="P107" s="7">
        <f t="shared" si="4"/>
        <v>779721.11908119882</v>
      </c>
      <c r="Q107" s="7">
        <f t="shared" si="5"/>
        <v>4076.7709188011941</v>
      </c>
      <c r="R107" s="7">
        <f t="shared" si="6"/>
        <v>4076.7709188011941</v>
      </c>
      <c r="S107" s="2" t="str">
        <f t="shared" si="7"/>
        <v>Positive residual - actual above prediction</v>
      </c>
      <c r="T107" s="2"/>
      <c r="U107" s="2"/>
      <c r="V107" s="2"/>
    </row>
    <row r="108" spans="1:22" x14ac:dyDescent="0.35">
      <c r="A108" s="2" t="str">
        <f>Dummy_Variables!A108</f>
        <v>STR-1027</v>
      </c>
      <c r="B108" s="2" t="str">
        <f>Dummy_Variables!B108</f>
        <v>2025-03</v>
      </c>
      <c r="C108" s="2" t="str">
        <f>Dummy_Variables!C108</f>
        <v>West</v>
      </c>
      <c r="D108" s="2" t="str">
        <f>Dummy_Variables!D108</f>
        <v>High Street</v>
      </c>
      <c r="E108" s="7">
        <f>Dummy_Variables!E108</f>
        <v>795153.84</v>
      </c>
      <c r="F108" s="7">
        <f>Dummy_Variables!F108</f>
        <v>64294.23</v>
      </c>
      <c r="G108" s="7">
        <f>Dummy_Variables!G108</f>
        <v>6992</v>
      </c>
      <c r="H108" s="7">
        <f>Dummy_Variables!H108</f>
        <v>0.13300000000000001</v>
      </c>
      <c r="I108" s="7">
        <f>Dummy_Variables!I108</f>
        <v>14</v>
      </c>
      <c r="J108" s="7">
        <f>Dummy_Variables!J108</f>
        <v>94.1</v>
      </c>
      <c r="K108" s="2">
        <f>Dummy_Variables!K108</f>
        <v>0</v>
      </c>
      <c r="L108" s="7">
        <f>Dummy_Variables!L108</f>
        <v>3</v>
      </c>
      <c r="M108" s="2">
        <f>Dummy_Variables!M108</f>
        <v>0</v>
      </c>
      <c r="N108" s="2">
        <f>Dummy_Variables!N108</f>
        <v>1</v>
      </c>
      <c r="O108" s="2">
        <f>Dummy_Variables!O108</f>
        <v>0</v>
      </c>
      <c r="P108" s="7">
        <f t="shared" si="4"/>
        <v>700208.49746102653</v>
      </c>
      <c r="Q108" s="7">
        <f t="shared" si="5"/>
        <v>94945.342538973433</v>
      </c>
      <c r="R108" s="7">
        <f t="shared" si="6"/>
        <v>94945.342538973433</v>
      </c>
      <c r="S108" s="2" t="str">
        <f t="shared" si="7"/>
        <v>Positive residual - actual above prediction</v>
      </c>
      <c r="T108" s="2"/>
      <c r="U108" s="2"/>
      <c r="V108" s="2"/>
    </row>
    <row r="109" spans="1:22" x14ac:dyDescent="0.35">
      <c r="A109" s="2" t="str">
        <f>Dummy_Variables!A109</f>
        <v>STR-1027</v>
      </c>
      <c r="B109" s="2" t="str">
        <f>Dummy_Variables!B109</f>
        <v>2025-04</v>
      </c>
      <c r="C109" s="2" t="str">
        <f>Dummy_Variables!C109</f>
        <v>West</v>
      </c>
      <c r="D109" s="2" t="str">
        <f>Dummy_Variables!D109</f>
        <v>High Street</v>
      </c>
      <c r="E109" s="7">
        <f>Dummy_Variables!E109</f>
        <v>665594.93999999994</v>
      </c>
      <c r="F109" s="7">
        <f>Dummy_Variables!F109</f>
        <v>31042.03</v>
      </c>
      <c r="G109" s="7">
        <f>Dummy_Variables!G109</f>
        <v>7107</v>
      </c>
      <c r="H109" s="7">
        <f>Dummy_Variables!H109</f>
        <v>5.0999999999999997E-2</v>
      </c>
      <c r="I109" s="7">
        <f>Dummy_Variables!I109</f>
        <v>15</v>
      </c>
      <c r="J109" s="7">
        <f>Dummy_Variables!J109</f>
        <v>87</v>
      </c>
      <c r="K109" s="2">
        <f>Dummy_Variables!K109</f>
        <v>0</v>
      </c>
      <c r="L109" s="7">
        <f>Dummy_Variables!L109</f>
        <v>3.2</v>
      </c>
      <c r="M109" s="2">
        <f>Dummy_Variables!M109</f>
        <v>0</v>
      </c>
      <c r="N109" s="2">
        <f>Dummy_Variables!N109</f>
        <v>1</v>
      </c>
      <c r="O109" s="2">
        <f>Dummy_Variables!O109</f>
        <v>0</v>
      </c>
      <c r="P109" s="7">
        <f t="shared" si="4"/>
        <v>654387.60742903443</v>
      </c>
      <c r="Q109" s="7">
        <f t="shared" si="5"/>
        <v>11207.332570965518</v>
      </c>
      <c r="R109" s="7">
        <f t="shared" si="6"/>
        <v>11207.332570965518</v>
      </c>
      <c r="S109" s="2" t="str">
        <f t="shared" si="7"/>
        <v>Positive residual - actual above prediction</v>
      </c>
      <c r="T109" s="2"/>
      <c r="U109" s="2"/>
      <c r="V109" s="2"/>
    </row>
    <row r="110" spans="1:22" x14ac:dyDescent="0.35">
      <c r="A110" s="2" t="str">
        <f>Dummy_Variables!A110</f>
        <v>STR-1028</v>
      </c>
      <c r="B110" s="2" t="str">
        <f>Dummy_Variables!B110</f>
        <v>2025-01</v>
      </c>
      <c r="C110" s="2" t="str">
        <f>Dummy_Variables!C110</f>
        <v>East</v>
      </c>
      <c r="D110" s="2" t="str">
        <f>Dummy_Variables!D110</f>
        <v>Mall</v>
      </c>
      <c r="E110" s="7">
        <f>Dummy_Variables!E110</f>
        <v>709478.39</v>
      </c>
      <c r="F110" s="7">
        <f>Dummy_Variables!F110</f>
        <v>75265.02</v>
      </c>
      <c r="G110" s="7">
        <f>Dummy_Variables!G110</f>
        <v>6975</v>
      </c>
      <c r="H110" s="7">
        <f>Dummy_Variables!H110</f>
        <v>0.157</v>
      </c>
      <c r="I110" s="7">
        <f>Dummy_Variables!I110</f>
        <v>20</v>
      </c>
      <c r="J110" s="7">
        <f>Dummy_Variables!J110</f>
        <v>73.8</v>
      </c>
      <c r="K110" s="2">
        <f>Dummy_Variables!K110</f>
        <v>1</v>
      </c>
      <c r="L110" s="7">
        <f>Dummy_Variables!L110</f>
        <v>3.8</v>
      </c>
      <c r="M110" s="2">
        <f>Dummy_Variables!M110</f>
        <v>0</v>
      </c>
      <c r="N110" s="2">
        <f>Dummy_Variables!N110</f>
        <v>0</v>
      </c>
      <c r="O110" s="2">
        <f>Dummy_Variables!O110</f>
        <v>1</v>
      </c>
      <c r="P110" s="7">
        <f t="shared" si="4"/>
        <v>697937.42554280185</v>
      </c>
      <c r="Q110" s="7">
        <f t="shared" si="5"/>
        <v>11540.964457198163</v>
      </c>
      <c r="R110" s="7">
        <f t="shared" si="6"/>
        <v>11540.964457198163</v>
      </c>
      <c r="S110" s="2" t="str">
        <f t="shared" si="7"/>
        <v>Positive residual - actual above prediction</v>
      </c>
      <c r="T110" s="2"/>
      <c r="U110" s="2"/>
      <c r="V110" s="2"/>
    </row>
    <row r="111" spans="1:22" x14ac:dyDescent="0.35">
      <c r="A111" s="2" t="str">
        <f>Dummy_Variables!A111</f>
        <v>STR-1028</v>
      </c>
      <c r="B111" s="2" t="str">
        <f>Dummy_Variables!B111</f>
        <v>2025-02</v>
      </c>
      <c r="C111" s="2" t="str">
        <f>Dummy_Variables!C111</f>
        <v>East</v>
      </c>
      <c r="D111" s="2" t="str">
        <f>Dummy_Variables!D111</f>
        <v>Mall</v>
      </c>
      <c r="E111" s="7">
        <f>Dummy_Variables!E111</f>
        <v>664162.49</v>
      </c>
      <c r="F111" s="7">
        <f>Dummy_Variables!F111</f>
        <v>69411.7</v>
      </c>
      <c r="G111" s="7">
        <f>Dummy_Variables!G111</f>
        <v>5493</v>
      </c>
      <c r="H111" s="7">
        <f>Dummy_Variables!H111</f>
        <v>0.29199999999999998</v>
      </c>
      <c r="I111" s="7">
        <f>Dummy_Variables!I111</f>
        <v>13</v>
      </c>
      <c r="J111" s="7">
        <f>Dummy_Variables!J111</f>
        <v>86.5</v>
      </c>
      <c r="K111" s="2">
        <f>Dummy_Variables!K111</f>
        <v>0</v>
      </c>
      <c r="L111" s="7">
        <f>Dummy_Variables!L111</f>
        <v>3.8</v>
      </c>
      <c r="M111" s="2">
        <f>Dummy_Variables!M111</f>
        <v>0</v>
      </c>
      <c r="N111" s="2">
        <f>Dummy_Variables!N111</f>
        <v>0</v>
      </c>
      <c r="O111" s="2">
        <f>Dummy_Variables!O111</f>
        <v>1</v>
      </c>
      <c r="P111" s="7">
        <f t="shared" si="4"/>
        <v>646846.22378438176</v>
      </c>
      <c r="Q111" s="7">
        <f t="shared" si="5"/>
        <v>17316.266215618234</v>
      </c>
      <c r="R111" s="7">
        <f t="shared" si="6"/>
        <v>17316.266215618234</v>
      </c>
      <c r="S111" s="2" t="str">
        <f t="shared" si="7"/>
        <v>Positive residual - actual above prediction</v>
      </c>
      <c r="T111" s="2"/>
      <c r="U111" s="2"/>
      <c r="V111" s="2"/>
    </row>
    <row r="112" spans="1:22" x14ac:dyDescent="0.35">
      <c r="A112" s="2" t="str">
        <f>Dummy_Variables!A112</f>
        <v>STR-1028</v>
      </c>
      <c r="B112" s="2" t="str">
        <f>Dummy_Variables!B112</f>
        <v>2025-03</v>
      </c>
      <c r="C112" s="2" t="str">
        <f>Dummy_Variables!C112</f>
        <v>East</v>
      </c>
      <c r="D112" s="2" t="str">
        <f>Dummy_Variables!D112</f>
        <v>Mall</v>
      </c>
      <c r="E112" s="7">
        <f>Dummy_Variables!E112</f>
        <v>633494.21</v>
      </c>
      <c r="F112" s="7">
        <f>Dummy_Variables!F112</f>
        <v>51056.15</v>
      </c>
      <c r="G112" s="7">
        <f>Dummy_Variables!G112</f>
        <v>5686</v>
      </c>
      <c r="H112" s="7">
        <f>Dummy_Variables!H112</f>
        <v>8.8999999999999996E-2</v>
      </c>
      <c r="I112" s="7">
        <f>Dummy_Variables!I112</f>
        <v>13</v>
      </c>
      <c r="J112" s="7">
        <f>Dummy_Variables!J112</f>
        <v>89.9</v>
      </c>
      <c r="K112" s="2">
        <f>Dummy_Variables!K112</f>
        <v>0</v>
      </c>
      <c r="L112" s="7">
        <f>Dummy_Variables!L112</f>
        <v>4.2</v>
      </c>
      <c r="M112" s="2">
        <f>Dummy_Variables!M112</f>
        <v>0</v>
      </c>
      <c r="N112" s="2">
        <f>Dummy_Variables!N112</f>
        <v>0</v>
      </c>
      <c r="O112" s="2">
        <f>Dummy_Variables!O112</f>
        <v>1</v>
      </c>
      <c r="P112" s="7">
        <f t="shared" si="4"/>
        <v>659817.15325121896</v>
      </c>
      <c r="Q112" s="7">
        <f t="shared" si="5"/>
        <v>-26322.943251218996</v>
      </c>
      <c r="R112" s="7">
        <f t="shared" si="6"/>
        <v>26322.943251218996</v>
      </c>
      <c r="S112" s="2" t="str">
        <f t="shared" si="7"/>
        <v>Negative residual - actual below prediction</v>
      </c>
      <c r="T112" s="2"/>
      <c r="U112" s="2"/>
      <c r="V112" s="2"/>
    </row>
    <row r="113" spans="1:22" x14ac:dyDescent="0.35">
      <c r="A113" s="2" t="str">
        <f>Dummy_Variables!A113</f>
        <v>STR-1028</v>
      </c>
      <c r="B113" s="2" t="str">
        <f>Dummy_Variables!B113</f>
        <v>2025-04</v>
      </c>
      <c r="C113" s="2" t="str">
        <f>Dummy_Variables!C113</f>
        <v>East</v>
      </c>
      <c r="D113" s="2" t="str">
        <f>Dummy_Variables!D113</f>
        <v>Mall</v>
      </c>
      <c r="E113" s="7">
        <f>Dummy_Variables!E113</f>
        <v>713611.16</v>
      </c>
      <c r="F113" s="7">
        <f>Dummy_Variables!F113</f>
        <v>52758.01</v>
      </c>
      <c r="G113" s="7">
        <f>Dummy_Variables!G113</f>
        <v>4063</v>
      </c>
      <c r="H113" s="7">
        <f>Dummy_Variables!H113</f>
        <v>5.7000000000000002E-2</v>
      </c>
      <c r="I113" s="7">
        <f>Dummy_Variables!I113</f>
        <v>12</v>
      </c>
      <c r="J113" s="7">
        <f>Dummy_Variables!J113</f>
        <v>91.7</v>
      </c>
      <c r="K113" s="2">
        <f>Dummy_Variables!K113</f>
        <v>0</v>
      </c>
      <c r="L113" s="7">
        <f>Dummy_Variables!L113</f>
        <v>3.5</v>
      </c>
      <c r="M113" s="2">
        <f>Dummy_Variables!M113</f>
        <v>0</v>
      </c>
      <c r="N113" s="2">
        <f>Dummy_Variables!N113</f>
        <v>0</v>
      </c>
      <c r="O113" s="2">
        <f>Dummy_Variables!O113</f>
        <v>1</v>
      </c>
      <c r="P113" s="7">
        <f t="shared" si="4"/>
        <v>611261.91460438503</v>
      </c>
      <c r="Q113" s="7">
        <f t="shared" si="5"/>
        <v>102349.245395615</v>
      </c>
      <c r="R113" s="7">
        <f t="shared" si="6"/>
        <v>102349.245395615</v>
      </c>
      <c r="S113" s="2" t="str">
        <f t="shared" si="7"/>
        <v>Positive residual - actual above prediction</v>
      </c>
      <c r="T113" s="2"/>
      <c r="U113" s="2"/>
      <c r="V113" s="2"/>
    </row>
    <row r="114" spans="1:22" x14ac:dyDescent="0.35">
      <c r="A114" s="2" t="str">
        <f>Dummy_Variables!A114</f>
        <v>STR-1029</v>
      </c>
      <c r="B114" s="2" t="str">
        <f>Dummy_Variables!B114</f>
        <v>2025-01</v>
      </c>
      <c r="C114" s="2" t="str">
        <f>Dummy_Variables!C114</f>
        <v>West</v>
      </c>
      <c r="D114" s="2" t="str">
        <f>Dummy_Variables!D114</f>
        <v>Mall</v>
      </c>
      <c r="E114" s="7">
        <f>Dummy_Variables!E114</f>
        <v>778397.97</v>
      </c>
      <c r="F114" s="7">
        <f>Dummy_Variables!F114</f>
        <v>61426.04</v>
      </c>
      <c r="G114" s="7">
        <f>Dummy_Variables!G114</f>
        <v>8966</v>
      </c>
      <c r="H114" s="7">
        <f>Dummy_Variables!H114</f>
        <v>0.17299999999999999</v>
      </c>
      <c r="I114" s="7">
        <f>Dummy_Variables!I114</f>
        <v>22</v>
      </c>
      <c r="J114" s="7">
        <f>Dummy_Variables!J114</f>
        <v>76.400000000000006</v>
      </c>
      <c r="K114" s="2">
        <f>Dummy_Variables!K114</f>
        <v>0</v>
      </c>
      <c r="L114" s="7">
        <f>Dummy_Variables!L114</f>
        <v>3.1</v>
      </c>
      <c r="M114" s="2">
        <f>Dummy_Variables!M114</f>
        <v>0</v>
      </c>
      <c r="N114" s="2">
        <f>Dummy_Variables!N114</f>
        <v>0</v>
      </c>
      <c r="O114" s="2">
        <f>Dummy_Variables!O114</f>
        <v>1</v>
      </c>
      <c r="P114" s="7">
        <f t="shared" si="4"/>
        <v>729920.57296587853</v>
      </c>
      <c r="Q114" s="7">
        <f t="shared" si="5"/>
        <v>48477.397034121444</v>
      </c>
      <c r="R114" s="7">
        <f t="shared" si="6"/>
        <v>48477.397034121444</v>
      </c>
      <c r="S114" s="2" t="str">
        <f t="shared" si="7"/>
        <v>Positive residual - actual above prediction</v>
      </c>
      <c r="T114" s="2"/>
      <c r="U114" s="2"/>
      <c r="V114" s="2"/>
    </row>
    <row r="115" spans="1:22" x14ac:dyDescent="0.35">
      <c r="A115" s="2" t="str">
        <f>Dummy_Variables!A115</f>
        <v>STR-1029</v>
      </c>
      <c r="B115" s="2" t="str">
        <f>Dummy_Variables!B115</f>
        <v>2025-02</v>
      </c>
      <c r="C115" s="2" t="str">
        <f>Dummy_Variables!C115</f>
        <v>West</v>
      </c>
      <c r="D115" s="2" t="str">
        <f>Dummy_Variables!D115</f>
        <v>Mall</v>
      </c>
      <c r="E115" s="7">
        <f>Dummy_Variables!E115</f>
        <v>873380.02</v>
      </c>
      <c r="F115" s="7">
        <f>Dummy_Variables!F115</f>
        <v>80176.34</v>
      </c>
      <c r="G115" s="7">
        <f>Dummy_Variables!G115</f>
        <v>9489</v>
      </c>
      <c r="H115" s="7">
        <f>Dummy_Variables!H115</f>
        <v>0.14199999999999999</v>
      </c>
      <c r="I115" s="7">
        <f>Dummy_Variables!I115</f>
        <v>22</v>
      </c>
      <c r="J115" s="7">
        <f>Dummy_Variables!J115</f>
        <v>94.3</v>
      </c>
      <c r="K115" s="2">
        <f>Dummy_Variables!K115</f>
        <v>0</v>
      </c>
      <c r="L115" s="7">
        <f>Dummy_Variables!L115</f>
        <v>3.5</v>
      </c>
      <c r="M115" s="2">
        <f>Dummy_Variables!M115</f>
        <v>0</v>
      </c>
      <c r="N115" s="2">
        <f>Dummy_Variables!N115</f>
        <v>0</v>
      </c>
      <c r="O115" s="2">
        <f>Dummy_Variables!O115</f>
        <v>1</v>
      </c>
      <c r="P115" s="7">
        <f t="shared" si="4"/>
        <v>827677.49167414347</v>
      </c>
      <c r="Q115" s="7">
        <f t="shared" si="5"/>
        <v>45702.528325856547</v>
      </c>
      <c r="R115" s="7">
        <f t="shared" si="6"/>
        <v>45702.528325856547</v>
      </c>
      <c r="S115" s="2" t="str">
        <f t="shared" si="7"/>
        <v>Positive residual - actual above prediction</v>
      </c>
      <c r="T115" s="2"/>
      <c r="U115" s="2"/>
      <c r="V115" s="2"/>
    </row>
    <row r="116" spans="1:22" x14ac:dyDescent="0.35">
      <c r="A116" s="2" t="str">
        <f>Dummy_Variables!A116</f>
        <v>STR-1029</v>
      </c>
      <c r="B116" s="2" t="str">
        <f>Dummy_Variables!B116</f>
        <v>2025-03</v>
      </c>
      <c r="C116" s="2" t="str">
        <f>Dummy_Variables!C116</f>
        <v>West</v>
      </c>
      <c r="D116" s="2" t="str">
        <f>Dummy_Variables!D116</f>
        <v>Mall</v>
      </c>
      <c r="E116" s="7">
        <f>Dummy_Variables!E116</f>
        <v>697287.9</v>
      </c>
      <c r="F116" s="7">
        <f>Dummy_Variables!F116</f>
        <v>33605.18</v>
      </c>
      <c r="G116" s="7">
        <f>Dummy_Variables!G116</f>
        <v>9225</v>
      </c>
      <c r="H116" s="7">
        <f>Dummy_Variables!H116</f>
        <v>0.159</v>
      </c>
      <c r="I116" s="7">
        <f>Dummy_Variables!I116</f>
        <v>23</v>
      </c>
      <c r="J116" s="7">
        <f>Dummy_Variables!J116</f>
        <v>88.4</v>
      </c>
      <c r="K116" s="2">
        <f>Dummy_Variables!K116</f>
        <v>0</v>
      </c>
      <c r="L116" s="7">
        <f>Dummy_Variables!L116</f>
        <v>2.8</v>
      </c>
      <c r="M116" s="2">
        <f>Dummy_Variables!M116</f>
        <v>0</v>
      </c>
      <c r="N116" s="2">
        <f>Dummy_Variables!N116</f>
        <v>0</v>
      </c>
      <c r="O116" s="2">
        <f>Dummy_Variables!O116</f>
        <v>1</v>
      </c>
      <c r="P116" s="7">
        <f t="shared" si="4"/>
        <v>741133.67722887709</v>
      </c>
      <c r="Q116" s="7">
        <f t="shared" si="5"/>
        <v>-43845.777228877065</v>
      </c>
      <c r="R116" s="7">
        <f t="shared" si="6"/>
        <v>43845.777228877065</v>
      </c>
      <c r="S116" s="2" t="str">
        <f t="shared" si="7"/>
        <v>Negative residual - actual below prediction</v>
      </c>
      <c r="T116" s="2"/>
      <c r="U116" s="2"/>
      <c r="V116" s="2"/>
    </row>
    <row r="117" spans="1:22" x14ac:dyDescent="0.35">
      <c r="A117" s="2" t="str">
        <f>Dummy_Variables!A117</f>
        <v>STR-1029</v>
      </c>
      <c r="B117" s="2" t="str">
        <f>Dummy_Variables!B117</f>
        <v>2025-04</v>
      </c>
      <c r="C117" s="2" t="str">
        <f>Dummy_Variables!C117</f>
        <v>West</v>
      </c>
      <c r="D117" s="2" t="str">
        <f>Dummy_Variables!D117</f>
        <v>Mall</v>
      </c>
      <c r="E117" s="7">
        <f>Dummy_Variables!E117</f>
        <v>718074.79</v>
      </c>
      <c r="F117" s="7">
        <f>Dummy_Variables!F117</f>
        <v>25990.54</v>
      </c>
      <c r="G117" s="7">
        <f>Dummy_Variables!G117</f>
        <v>9249</v>
      </c>
      <c r="H117" s="7">
        <f>Dummy_Variables!H117</f>
        <v>0.13900000000000001</v>
      </c>
      <c r="I117" s="7">
        <f>Dummy_Variables!I117</f>
        <v>23</v>
      </c>
      <c r="J117" s="7">
        <f>Dummy_Variables!J117</f>
        <v>92.5</v>
      </c>
      <c r="K117" s="2">
        <f>Dummy_Variables!K117</f>
        <v>0</v>
      </c>
      <c r="L117" s="7">
        <f>Dummy_Variables!L117</f>
        <v>3.3</v>
      </c>
      <c r="M117" s="2">
        <f>Dummy_Variables!M117</f>
        <v>0</v>
      </c>
      <c r="N117" s="2">
        <f>Dummy_Variables!N117</f>
        <v>0</v>
      </c>
      <c r="O117" s="2">
        <f>Dummy_Variables!O117</f>
        <v>1</v>
      </c>
      <c r="P117" s="7">
        <f t="shared" si="4"/>
        <v>753182.61589391716</v>
      </c>
      <c r="Q117" s="7">
        <f t="shared" si="5"/>
        <v>-35107.825893917121</v>
      </c>
      <c r="R117" s="7">
        <f t="shared" si="6"/>
        <v>35107.825893917121</v>
      </c>
      <c r="S117" s="2" t="str">
        <f t="shared" si="7"/>
        <v>Negative residual - actual below prediction</v>
      </c>
      <c r="T117" s="2"/>
      <c r="U117" s="2"/>
      <c r="V117" s="2"/>
    </row>
    <row r="118" spans="1:22" x14ac:dyDescent="0.35">
      <c r="A118" s="2" t="str">
        <f>Dummy_Variables!A118</f>
        <v>STR-1030</v>
      </c>
      <c r="B118" s="2" t="str">
        <f>Dummy_Variables!B118</f>
        <v>2025-01</v>
      </c>
      <c r="C118" s="2" t="str">
        <f>Dummy_Variables!C118</f>
        <v>West</v>
      </c>
      <c r="D118" s="2" t="str">
        <f>Dummy_Variables!D118</f>
        <v>Residential</v>
      </c>
      <c r="E118" s="7">
        <f>Dummy_Variables!E118</f>
        <v>714942.43</v>
      </c>
      <c r="F118" s="7">
        <f>Dummy_Variables!F118</f>
        <v>43685.14</v>
      </c>
      <c r="G118" s="7">
        <f>Dummy_Variables!G118</f>
        <v>7821</v>
      </c>
      <c r="H118" s="7">
        <f>Dummy_Variables!H118</f>
        <v>0.19</v>
      </c>
      <c r="I118" s="7">
        <f>Dummy_Variables!I118</f>
        <v>17</v>
      </c>
      <c r="J118" s="7">
        <f>Dummy_Variables!J118</f>
        <v>91</v>
      </c>
      <c r="K118" s="2">
        <f>Dummy_Variables!K118</f>
        <v>1</v>
      </c>
      <c r="L118" s="7">
        <f>Dummy_Variables!L118</f>
        <v>4.7</v>
      </c>
      <c r="M118" s="2">
        <f>Dummy_Variables!M118</f>
        <v>0</v>
      </c>
      <c r="N118" s="2">
        <f>Dummy_Variables!N118</f>
        <v>0</v>
      </c>
      <c r="O118" s="2">
        <f>Dummy_Variables!O118</f>
        <v>0</v>
      </c>
      <c r="P118" s="7">
        <f t="shared" si="4"/>
        <v>711414.32854769879</v>
      </c>
      <c r="Q118" s="7">
        <f t="shared" si="5"/>
        <v>3528.1014523012564</v>
      </c>
      <c r="R118" s="7">
        <f t="shared" si="6"/>
        <v>3528.1014523012564</v>
      </c>
      <c r="S118" s="2" t="str">
        <f t="shared" si="7"/>
        <v>Positive residual - actual above prediction</v>
      </c>
      <c r="T118" s="2"/>
      <c r="U118" s="2"/>
      <c r="V118" s="2"/>
    </row>
    <row r="119" spans="1:22" x14ac:dyDescent="0.35">
      <c r="A119" s="2" t="str">
        <f>Dummy_Variables!A119</f>
        <v>STR-1030</v>
      </c>
      <c r="B119" s="2" t="str">
        <f>Dummy_Variables!B119</f>
        <v>2025-02</v>
      </c>
      <c r="C119" s="2" t="str">
        <f>Dummy_Variables!C119</f>
        <v>West</v>
      </c>
      <c r="D119" s="2" t="str">
        <f>Dummy_Variables!D119</f>
        <v>Residential</v>
      </c>
      <c r="E119" s="7">
        <f>Dummy_Variables!E119</f>
        <v>820519.04</v>
      </c>
      <c r="F119" s="7">
        <f>Dummy_Variables!F119</f>
        <v>57360.01</v>
      </c>
      <c r="G119" s="7">
        <f>Dummy_Variables!G119</f>
        <v>8434</v>
      </c>
      <c r="H119" s="7">
        <f>Dummy_Variables!H119</f>
        <v>0.151</v>
      </c>
      <c r="I119" s="7">
        <f>Dummy_Variables!I119</f>
        <v>19</v>
      </c>
      <c r="J119" s="7">
        <f>Dummy_Variables!J119</f>
        <v>84.1</v>
      </c>
      <c r="K119" s="2">
        <f>Dummy_Variables!K119</f>
        <v>0</v>
      </c>
      <c r="L119" s="7">
        <f>Dummy_Variables!L119</f>
        <v>4.7</v>
      </c>
      <c r="M119" s="2">
        <f>Dummy_Variables!M119</f>
        <v>0</v>
      </c>
      <c r="N119" s="2">
        <f>Dummy_Variables!N119</f>
        <v>0</v>
      </c>
      <c r="O119" s="2">
        <f>Dummy_Variables!O119</f>
        <v>0</v>
      </c>
      <c r="P119" s="7">
        <f t="shared" si="4"/>
        <v>720106.72781483096</v>
      </c>
      <c r="Q119" s="7">
        <f t="shared" si="5"/>
        <v>100412.31218516908</v>
      </c>
      <c r="R119" s="7">
        <f t="shared" si="6"/>
        <v>100412.31218516908</v>
      </c>
      <c r="S119" s="2" t="str">
        <f t="shared" si="7"/>
        <v>Positive residual - actual above prediction</v>
      </c>
      <c r="T119" s="2"/>
      <c r="U119" s="2"/>
      <c r="V119" s="2"/>
    </row>
    <row r="120" spans="1:22" x14ac:dyDescent="0.35">
      <c r="A120" s="2" t="str">
        <f>Dummy_Variables!A120</f>
        <v>STR-1030</v>
      </c>
      <c r="B120" s="2" t="str">
        <f>Dummy_Variables!B120</f>
        <v>2025-03</v>
      </c>
      <c r="C120" s="2" t="str">
        <f>Dummy_Variables!C120</f>
        <v>West</v>
      </c>
      <c r="D120" s="2" t="str">
        <f>Dummy_Variables!D120</f>
        <v>Residential</v>
      </c>
      <c r="E120" s="7">
        <f>Dummy_Variables!E120</f>
        <v>684217.32</v>
      </c>
      <c r="F120" s="7">
        <f>Dummy_Variables!F120</f>
        <v>42415.47</v>
      </c>
      <c r="G120" s="7">
        <f>Dummy_Variables!G120</f>
        <v>8512</v>
      </c>
      <c r="H120" s="7">
        <f>Dummy_Variables!H120</f>
        <v>0.13300000000000001</v>
      </c>
      <c r="I120" s="7">
        <f>Dummy_Variables!I120</f>
        <v>18</v>
      </c>
      <c r="J120" s="7">
        <f>Dummy_Variables!J120</f>
        <v>96.8</v>
      </c>
      <c r="K120" s="2">
        <f>Dummy_Variables!K120</f>
        <v>0</v>
      </c>
      <c r="L120" s="7">
        <f>Dummy_Variables!L120</f>
        <v>4.5999999999999996</v>
      </c>
      <c r="M120" s="2">
        <f>Dummy_Variables!M120</f>
        <v>0</v>
      </c>
      <c r="N120" s="2">
        <f>Dummy_Variables!N120</f>
        <v>0</v>
      </c>
      <c r="O120" s="2">
        <f>Dummy_Variables!O120</f>
        <v>0</v>
      </c>
      <c r="P120" s="7">
        <f t="shared" si="4"/>
        <v>740393.02237361728</v>
      </c>
      <c r="Q120" s="7">
        <f t="shared" si="5"/>
        <v>-56175.702373617329</v>
      </c>
      <c r="R120" s="7">
        <f t="shared" si="6"/>
        <v>56175.702373617329</v>
      </c>
      <c r="S120" s="2" t="str">
        <f t="shared" si="7"/>
        <v>Negative residual - actual below prediction</v>
      </c>
      <c r="T120" s="2"/>
      <c r="U120" s="2"/>
      <c r="V120" s="2"/>
    </row>
    <row r="121" spans="1:22" x14ac:dyDescent="0.35">
      <c r="A121" s="2" t="str">
        <f>Dummy_Variables!A121</f>
        <v>STR-1030</v>
      </c>
      <c r="B121" s="2" t="str">
        <f>Dummy_Variables!B121</f>
        <v>2025-04</v>
      </c>
      <c r="C121" s="2" t="str">
        <f>Dummy_Variables!C121</f>
        <v>West</v>
      </c>
      <c r="D121" s="2" t="str">
        <f>Dummy_Variables!D121</f>
        <v>Residential</v>
      </c>
      <c r="E121" s="7">
        <f>Dummy_Variables!E121</f>
        <v>735480.19</v>
      </c>
      <c r="F121" s="7">
        <f>Dummy_Variables!F121</f>
        <v>54968.98</v>
      </c>
      <c r="G121" s="7">
        <f>Dummy_Variables!G121</f>
        <v>7816</v>
      </c>
      <c r="H121" s="7">
        <f>Dummy_Variables!H121</f>
        <v>0.23200000000000001</v>
      </c>
      <c r="I121" s="7">
        <f>Dummy_Variables!I121</f>
        <v>19</v>
      </c>
      <c r="J121" s="7">
        <f>Dummy_Variables!J121</f>
        <v>95.7</v>
      </c>
      <c r="K121" s="2">
        <f>Dummy_Variables!K121</f>
        <v>0</v>
      </c>
      <c r="L121" s="7">
        <f>Dummy_Variables!L121</f>
        <v>4.7</v>
      </c>
      <c r="M121" s="2">
        <f>Dummy_Variables!M121</f>
        <v>0</v>
      </c>
      <c r="N121" s="2">
        <f>Dummy_Variables!N121</f>
        <v>0</v>
      </c>
      <c r="O121" s="2">
        <f>Dummy_Variables!O121</f>
        <v>0</v>
      </c>
      <c r="P121" s="7">
        <f t="shared" si="4"/>
        <v>729475.67834370246</v>
      </c>
      <c r="Q121" s="7">
        <f t="shared" si="5"/>
        <v>6004.5116562974872</v>
      </c>
      <c r="R121" s="7">
        <f t="shared" si="6"/>
        <v>6004.5116562974872</v>
      </c>
      <c r="S121" s="2" t="str">
        <f t="shared" si="7"/>
        <v>Positive residual - actual above prediction</v>
      </c>
      <c r="T121" s="2"/>
      <c r="U121" s="2"/>
      <c r="V121" s="2"/>
    </row>
    <row r="122" spans="1:22" x14ac:dyDescent="0.35">
      <c r="A122" s="2" t="str">
        <f>Dummy_Variables!A122</f>
        <v>STR-1031</v>
      </c>
      <c r="B122" s="2" t="str">
        <f>Dummy_Variables!B122</f>
        <v>2025-01</v>
      </c>
      <c r="C122" s="2" t="str">
        <f>Dummy_Variables!C122</f>
        <v>North</v>
      </c>
      <c r="D122" s="2" t="str">
        <f>Dummy_Variables!D122</f>
        <v>High Street</v>
      </c>
      <c r="E122" s="7">
        <f>Dummy_Variables!E122</f>
        <v>509484.81</v>
      </c>
      <c r="F122" s="7">
        <f>Dummy_Variables!F122</f>
        <v>43896.13</v>
      </c>
      <c r="G122" s="7">
        <f>Dummy_Variables!G122</f>
        <v>3853</v>
      </c>
      <c r="H122" s="7">
        <f>Dummy_Variables!H122</f>
        <v>8.7999999999999995E-2</v>
      </c>
      <c r="I122" s="7">
        <f>Dummy_Variables!I122</f>
        <v>13</v>
      </c>
      <c r="J122" s="7">
        <f>Dummy_Variables!J122</f>
        <v>83</v>
      </c>
      <c r="K122" s="2">
        <f>Dummy_Variables!K122</f>
        <v>0</v>
      </c>
      <c r="L122" s="7">
        <f>Dummy_Variables!L122</f>
        <v>4.4000000000000004</v>
      </c>
      <c r="M122" s="2">
        <f>Dummy_Variables!M122</f>
        <v>0</v>
      </c>
      <c r="N122" s="2">
        <f>Dummy_Variables!N122</f>
        <v>1</v>
      </c>
      <c r="O122" s="2">
        <f>Dummy_Variables!O122</f>
        <v>0</v>
      </c>
      <c r="P122" s="7">
        <f t="shared" si="4"/>
        <v>572269.5806331191</v>
      </c>
      <c r="Q122" s="7">
        <f t="shared" si="5"/>
        <v>-62784.7706331191</v>
      </c>
      <c r="R122" s="7">
        <f t="shared" si="6"/>
        <v>62784.7706331191</v>
      </c>
      <c r="S122" s="2" t="str">
        <f t="shared" si="7"/>
        <v>Negative residual - actual below prediction</v>
      </c>
      <c r="T122" s="2"/>
      <c r="U122" s="2"/>
      <c r="V122" s="2"/>
    </row>
    <row r="123" spans="1:22" x14ac:dyDescent="0.35">
      <c r="A123" s="2" t="str">
        <f>Dummy_Variables!A123</f>
        <v>STR-1031</v>
      </c>
      <c r="B123" s="2" t="str">
        <f>Dummy_Variables!B123</f>
        <v>2025-02</v>
      </c>
      <c r="C123" s="2" t="str">
        <f>Dummy_Variables!C123</f>
        <v>North</v>
      </c>
      <c r="D123" s="2" t="str">
        <f>Dummy_Variables!D123</f>
        <v>High Street</v>
      </c>
      <c r="E123" s="7">
        <f>Dummy_Variables!E123</f>
        <v>654317.09</v>
      </c>
      <c r="F123" s="7">
        <f>Dummy_Variables!F123</f>
        <v>83044.17</v>
      </c>
      <c r="G123" s="7">
        <f>Dummy_Variables!G123</f>
        <v>3694</v>
      </c>
      <c r="H123" s="7">
        <f>Dummy_Variables!H123</f>
        <v>0</v>
      </c>
      <c r="I123" s="7">
        <f>Dummy_Variables!I123</f>
        <v>14</v>
      </c>
      <c r="J123" s="7">
        <f>Dummy_Variables!J123</f>
        <v>89.4</v>
      </c>
      <c r="K123" s="2">
        <f>Dummy_Variables!K123</f>
        <v>0</v>
      </c>
      <c r="L123" s="7">
        <f>Dummy_Variables!L123</f>
        <v>3.7</v>
      </c>
      <c r="M123" s="2">
        <f>Dummy_Variables!M123</f>
        <v>0</v>
      </c>
      <c r="N123" s="2">
        <f>Dummy_Variables!N123</f>
        <v>1</v>
      </c>
      <c r="O123" s="2">
        <f>Dummy_Variables!O123</f>
        <v>0</v>
      </c>
      <c r="P123" s="7">
        <f t="shared" si="4"/>
        <v>631798.98531313101</v>
      </c>
      <c r="Q123" s="7">
        <f t="shared" si="5"/>
        <v>22518.104686868959</v>
      </c>
      <c r="R123" s="7">
        <f t="shared" si="6"/>
        <v>22518.104686868959</v>
      </c>
      <c r="S123" s="2" t="str">
        <f t="shared" si="7"/>
        <v>Positive residual - actual above prediction</v>
      </c>
      <c r="T123" s="2"/>
      <c r="U123" s="2"/>
      <c r="V123" s="2"/>
    </row>
    <row r="124" spans="1:22" x14ac:dyDescent="0.35">
      <c r="A124" s="2" t="str">
        <f>Dummy_Variables!A124</f>
        <v>STR-1031</v>
      </c>
      <c r="B124" s="2" t="str">
        <f>Dummy_Variables!B124</f>
        <v>2025-03</v>
      </c>
      <c r="C124" s="2" t="str">
        <f>Dummy_Variables!C124</f>
        <v>North</v>
      </c>
      <c r="D124" s="2" t="str">
        <f>Dummy_Variables!D124</f>
        <v>High Street</v>
      </c>
      <c r="E124" s="7">
        <f>Dummy_Variables!E124</f>
        <v>557487.26</v>
      </c>
      <c r="F124" s="7">
        <f>Dummy_Variables!F124</f>
        <v>48396.13</v>
      </c>
      <c r="G124" s="7">
        <f>Dummy_Variables!G124</f>
        <v>4423</v>
      </c>
      <c r="H124" s="7">
        <f>Dummy_Variables!H124</f>
        <v>6.9000000000000006E-2</v>
      </c>
      <c r="I124" s="7">
        <f>Dummy_Variables!I124</f>
        <v>15</v>
      </c>
      <c r="J124" s="7">
        <f>Dummy_Variables!J124</f>
        <v>85.7</v>
      </c>
      <c r="K124" s="2">
        <f>Dummy_Variables!K124</f>
        <v>0</v>
      </c>
      <c r="L124" s="7">
        <f>Dummy_Variables!L124</f>
        <v>3.9</v>
      </c>
      <c r="M124" s="2">
        <f>Dummy_Variables!M124</f>
        <v>0</v>
      </c>
      <c r="N124" s="2">
        <f>Dummy_Variables!N124</f>
        <v>1</v>
      </c>
      <c r="O124" s="2">
        <f>Dummy_Variables!O124</f>
        <v>0</v>
      </c>
      <c r="P124" s="7">
        <f t="shared" si="4"/>
        <v>602200.82288062864</v>
      </c>
      <c r="Q124" s="7">
        <f t="shared" si="5"/>
        <v>-44713.562880628626</v>
      </c>
      <c r="R124" s="7">
        <f t="shared" si="6"/>
        <v>44713.562880628626</v>
      </c>
      <c r="S124" s="2" t="str">
        <f t="shared" si="7"/>
        <v>Negative residual - actual below prediction</v>
      </c>
      <c r="T124" s="2"/>
      <c r="U124" s="2"/>
      <c r="V124" s="2"/>
    </row>
    <row r="125" spans="1:22" x14ac:dyDescent="0.35">
      <c r="A125" s="2" t="str">
        <f>Dummy_Variables!A125</f>
        <v>STR-1031</v>
      </c>
      <c r="B125" s="2" t="str">
        <f>Dummy_Variables!B125</f>
        <v>2025-04</v>
      </c>
      <c r="C125" s="2" t="str">
        <f>Dummy_Variables!C125</f>
        <v>North</v>
      </c>
      <c r="D125" s="2" t="str">
        <f>Dummy_Variables!D125</f>
        <v>High Street</v>
      </c>
      <c r="E125" s="7">
        <f>Dummy_Variables!E125</f>
        <v>441275.42</v>
      </c>
      <c r="F125" s="7">
        <f>Dummy_Variables!F125</f>
        <v>19063.48</v>
      </c>
      <c r="G125" s="7">
        <f>Dummy_Variables!G125</f>
        <v>1906</v>
      </c>
      <c r="H125" s="7">
        <f>Dummy_Variables!H125</f>
        <v>0.216</v>
      </c>
      <c r="I125" s="7">
        <f>Dummy_Variables!I125</f>
        <v>10</v>
      </c>
      <c r="J125" s="7">
        <f>Dummy_Variables!J125</f>
        <v>97.8</v>
      </c>
      <c r="K125" s="2">
        <f>Dummy_Variables!K125</f>
        <v>0</v>
      </c>
      <c r="L125" s="7">
        <f>Dummy_Variables!L125</f>
        <v>4.4000000000000004</v>
      </c>
      <c r="M125" s="2">
        <f>Dummy_Variables!M125</f>
        <v>0</v>
      </c>
      <c r="N125" s="2">
        <f>Dummy_Variables!N125</f>
        <v>1</v>
      </c>
      <c r="O125" s="2">
        <f>Dummy_Variables!O125</f>
        <v>0</v>
      </c>
      <c r="P125" s="7">
        <f t="shared" si="4"/>
        <v>516030.58423183591</v>
      </c>
      <c r="Q125" s="7">
        <f t="shared" si="5"/>
        <v>-74755.164231835923</v>
      </c>
      <c r="R125" s="7">
        <f t="shared" si="6"/>
        <v>74755.164231835923</v>
      </c>
      <c r="S125" s="2" t="str">
        <f t="shared" si="7"/>
        <v>Negative residual - actual below prediction</v>
      </c>
      <c r="T125" s="2"/>
      <c r="U125" s="2"/>
      <c r="V125" s="2"/>
    </row>
    <row r="126" spans="1:22" x14ac:dyDescent="0.35">
      <c r="A126" s="2" t="str">
        <f>Dummy_Variables!A126</f>
        <v>STR-1032</v>
      </c>
      <c r="B126" s="2" t="str">
        <f>Dummy_Variables!B126</f>
        <v>2025-01</v>
      </c>
      <c r="C126" s="2" t="str">
        <f>Dummy_Variables!C126</f>
        <v>South</v>
      </c>
      <c r="D126" s="2" t="str">
        <f>Dummy_Variables!D126</f>
        <v>High Street</v>
      </c>
      <c r="E126" s="7">
        <f>Dummy_Variables!E126</f>
        <v>914544.17</v>
      </c>
      <c r="F126" s="7">
        <f>Dummy_Variables!F126</f>
        <v>61541.21</v>
      </c>
      <c r="G126" s="7">
        <f>Dummy_Variables!G126</f>
        <v>10396</v>
      </c>
      <c r="H126" s="7">
        <f>Dummy_Variables!H126</f>
        <v>0.123</v>
      </c>
      <c r="I126" s="7">
        <f>Dummy_Variables!I126</f>
        <v>25</v>
      </c>
      <c r="J126" s="7">
        <f>Dummy_Variables!J126</f>
        <v>88.1</v>
      </c>
      <c r="K126" s="2">
        <f>Dummy_Variables!K126</f>
        <v>1</v>
      </c>
      <c r="L126" s="7">
        <f>Dummy_Variables!L126</f>
        <v>4.8</v>
      </c>
      <c r="M126" s="2">
        <f>Dummy_Variables!M126</f>
        <v>0</v>
      </c>
      <c r="N126" s="2">
        <f>Dummy_Variables!N126</f>
        <v>1</v>
      </c>
      <c r="O126" s="2">
        <f>Dummy_Variables!O126</f>
        <v>0</v>
      </c>
      <c r="P126" s="7">
        <f t="shared" si="4"/>
        <v>842702.91329339857</v>
      </c>
      <c r="Q126" s="7">
        <f t="shared" si="5"/>
        <v>71841.256706601474</v>
      </c>
      <c r="R126" s="7">
        <f t="shared" si="6"/>
        <v>71841.256706601474</v>
      </c>
      <c r="S126" s="2" t="str">
        <f t="shared" si="7"/>
        <v>Positive residual - actual above prediction</v>
      </c>
      <c r="T126" s="2"/>
      <c r="U126" s="2"/>
      <c r="V126" s="2"/>
    </row>
    <row r="127" spans="1:22" x14ac:dyDescent="0.35">
      <c r="A127" s="2" t="str">
        <f>Dummy_Variables!A127</f>
        <v>STR-1032</v>
      </c>
      <c r="B127" s="2" t="str">
        <f>Dummy_Variables!B127</f>
        <v>2025-02</v>
      </c>
      <c r="C127" s="2" t="str">
        <f>Dummy_Variables!C127</f>
        <v>South</v>
      </c>
      <c r="D127" s="2" t="str">
        <f>Dummy_Variables!D127</f>
        <v>High Street</v>
      </c>
      <c r="E127" s="7">
        <f>Dummy_Variables!E127</f>
        <v>842439.67</v>
      </c>
      <c r="F127" s="7">
        <f>Dummy_Variables!F127</f>
        <v>44747</v>
      </c>
      <c r="G127" s="7">
        <f>Dummy_Variables!G127</f>
        <v>11076</v>
      </c>
      <c r="H127" s="7">
        <f>Dummy_Variables!H127</f>
        <v>0.17599999999999999</v>
      </c>
      <c r="I127" s="7">
        <f>Dummy_Variables!I127</f>
        <v>27</v>
      </c>
      <c r="J127" s="7">
        <f>Dummy_Variables!J127</f>
        <v>98.3</v>
      </c>
      <c r="K127" s="2">
        <f>Dummy_Variables!K127</f>
        <v>0</v>
      </c>
      <c r="L127" s="7">
        <f>Dummy_Variables!L127</f>
        <v>4.4000000000000004</v>
      </c>
      <c r="M127" s="2">
        <f>Dummy_Variables!M127</f>
        <v>0</v>
      </c>
      <c r="N127" s="2">
        <f>Dummy_Variables!N127</f>
        <v>1</v>
      </c>
      <c r="O127" s="2">
        <f>Dummy_Variables!O127</f>
        <v>0</v>
      </c>
      <c r="P127" s="7">
        <f t="shared" si="4"/>
        <v>858423.01172360498</v>
      </c>
      <c r="Q127" s="7">
        <f t="shared" si="5"/>
        <v>-15983.341723604943</v>
      </c>
      <c r="R127" s="7">
        <f t="shared" si="6"/>
        <v>15983.341723604943</v>
      </c>
      <c r="S127" s="2" t="str">
        <f t="shared" si="7"/>
        <v>Negative residual - actual below prediction</v>
      </c>
      <c r="T127" s="2"/>
      <c r="U127" s="2"/>
      <c r="V127" s="2"/>
    </row>
    <row r="128" spans="1:22" x14ac:dyDescent="0.35">
      <c r="A128" s="2" t="str">
        <f>Dummy_Variables!A128</f>
        <v>STR-1032</v>
      </c>
      <c r="B128" s="2" t="str">
        <f>Dummy_Variables!B128</f>
        <v>2025-03</v>
      </c>
      <c r="C128" s="2" t="str">
        <f>Dummy_Variables!C128</f>
        <v>South</v>
      </c>
      <c r="D128" s="2" t="str">
        <f>Dummy_Variables!D128</f>
        <v>High Street</v>
      </c>
      <c r="E128" s="7">
        <f>Dummy_Variables!E128</f>
        <v>842157.92</v>
      </c>
      <c r="F128" s="7">
        <f>Dummy_Variables!F128</f>
        <v>56517.9</v>
      </c>
      <c r="G128" s="7">
        <f>Dummy_Variables!G128</f>
        <v>9574</v>
      </c>
      <c r="H128" s="7">
        <f>Dummy_Variables!H128</f>
        <v>0.20399999999999999</v>
      </c>
      <c r="I128" s="7">
        <f>Dummy_Variables!I128</f>
        <v>20</v>
      </c>
      <c r="J128" s="7">
        <f>Dummy_Variables!J128</f>
        <v>88.2</v>
      </c>
      <c r="K128" s="2">
        <f>Dummy_Variables!K128</f>
        <v>1</v>
      </c>
      <c r="L128" s="7">
        <f>Dummy_Variables!L128</f>
        <v>4.9000000000000004</v>
      </c>
      <c r="M128" s="2">
        <f>Dummy_Variables!M128</f>
        <v>0</v>
      </c>
      <c r="N128" s="2">
        <f>Dummy_Variables!N128</f>
        <v>1</v>
      </c>
      <c r="O128" s="2">
        <f>Dummy_Variables!O128</f>
        <v>0</v>
      </c>
      <c r="P128" s="7">
        <f t="shared" si="4"/>
        <v>795726.7166524803</v>
      </c>
      <c r="Q128" s="7">
        <f t="shared" si="5"/>
        <v>46431.203347519739</v>
      </c>
      <c r="R128" s="7">
        <f t="shared" si="6"/>
        <v>46431.203347519739</v>
      </c>
      <c r="S128" s="2" t="str">
        <f t="shared" si="7"/>
        <v>Positive residual - actual above prediction</v>
      </c>
      <c r="T128" s="2"/>
      <c r="U128" s="2"/>
      <c r="V128" s="2"/>
    </row>
    <row r="129" spans="1:22" x14ac:dyDescent="0.35">
      <c r="A129" s="2" t="str">
        <f>Dummy_Variables!A129</f>
        <v>STR-1032</v>
      </c>
      <c r="B129" s="2" t="str">
        <f>Dummy_Variables!B129</f>
        <v>2025-04</v>
      </c>
      <c r="C129" s="2" t="str">
        <f>Dummy_Variables!C129</f>
        <v>South</v>
      </c>
      <c r="D129" s="2" t="str">
        <f>Dummy_Variables!D129</f>
        <v>High Street</v>
      </c>
      <c r="E129" s="7">
        <f>Dummy_Variables!E129</f>
        <v>697155.3</v>
      </c>
      <c r="F129" s="7">
        <f>Dummy_Variables!F129</f>
        <v>37828.5</v>
      </c>
      <c r="G129" s="7">
        <f>Dummy_Variables!G129</f>
        <v>8221</v>
      </c>
      <c r="H129" s="7">
        <f>Dummy_Variables!H129</f>
        <v>9.6000000000000002E-2</v>
      </c>
      <c r="I129" s="7">
        <f>Dummy_Variables!I129</f>
        <v>19</v>
      </c>
      <c r="J129" s="7">
        <f>Dummy_Variables!J129</f>
        <v>81.5</v>
      </c>
      <c r="K129" s="2">
        <f>Dummy_Variables!K129</f>
        <v>0</v>
      </c>
      <c r="L129" s="7">
        <f>Dummy_Variables!L129</f>
        <v>4.8</v>
      </c>
      <c r="M129" s="2">
        <f>Dummy_Variables!M129</f>
        <v>0</v>
      </c>
      <c r="N129" s="2">
        <f>Dummy_Variables!N129</f>
        <v>1</v>
      </c>
      <c r="O129" s="2">
        <f>Dummy_Variables!O129</f>
        <v>0</v>
      </c>
      <c r="P129" s="7">
        <f t="shared" si="4"/>
        <v>706464.81872340955</v>
      </c>
      <c r="Q129" s="7">
        <f t="shared" si="5"/>
        <v>-9309.5187234095065</v>
      </c>
      <c r="R129" s="7">
        <f t="shared" si="6"/>
        <v>9309.5187234095065</v>
      </c>
      <c r="S129" s="2" t="str">
        <f t="shared" si="7"/>
        <v>Negative residual - actual below prediction</v>
      </c>
      <c r="T129" s="2"/>
      <c r="U129" s="2"/>
      <c r="V129" s="2"/>
    </row>
    <row r="130" spans="1:22" x14ac:dyDescent="0.35">
      <c r="A130" s="2" t="str">
        <f>Dummy_Variables!A130</f>
        <v>STR-1033</v>
      </c>
      <c r="B130" s="2" t="str">
        <f>Dummy_Variables!B130</f>
        <v>2025-01</v>
      </c>
      <c r="C130" s="2" t="str">
        <f>Dummy_Variables!C130</f>
        <v>East</v>
      </c>
      <c r="D130" s="2" t="str">
        <f>Dummy_Variables!D130</f>
        <v>High Street</v>
      </c>
      <c r="E130" s="7">
        <f>Dummy_Variables!E130</f>
        <v>849018.3</v>
      </c>
      <c r="F130" s="7">
        <f>Dummy_Variables!F130</f>
        <v>66250.53</v>
      </c>
      <c r="G130" s="7">
        <f>Dummy_Variables!G130</f>
        <v>10618</v>
      </c>
      <c r="H130" s="7">
        <f>Dummy_Variables!H130</f>
        <v>0.14199999999999999</v>
      </c>
      <c r="I130" s="7">
        <f>Dummy_Variables!I130</f>
        <v>27</v>
      </c>
      <c r="J130" s="7">
        <f>Dummy_Variables!J130</f>
        <v>88.3</v>
      </c>
      <c r="K130" s="2">
        <f>Dummy_Variables!K130</f>
        <v>1</v>
      </c>
      <c r="L130" s="7">
        <f>Dummy_Variables!L130</f>
        <v>4.4000000000000004</v>
      </c>
      <c r="M130" s="2">
        <f>Dummy_Variables!M130</f>
        <v>0</v>
      </c>
      <c r="N130" s="2">
        <f>Dummy_Variables!N130</f>
        <v>1</v>
      </c>
      <c r="O130" s="2">
        <f>Dummy_Variables!O130</f>
        <v>0</v>
      </c>
      <c r="P130" s="7">
        <f t="shared" ref="P130:P193" si="8">_xlfn.SINGLE(_xlfn.XLOOKUP("Intercept", $U:$U, $V:$V)) + F130 * _xlfn.SINGLE(_xlfn.XLOOKUP("marketing_spend", $U:$U, $V:$V)) + G130 * _xlfn.SINGLE(_xlfn.XLOOKUP("footfall", $U:$U, $V:$V)) + H130 * _xlfn.SINGLE(_xlfn.XLOOKUP("avg_discount_pct", $U:$U, $V:$V)) + I130 * _xlfn.SINGLE(_xlfn.XLOOKUP("staff_count", $U:$U, $V:$V)) + J130 * _xlfn.SINGLE(_xlfn.XLOOKUP("inventory_availability_pct", $U:$U, $V:$V)) + K130 * _xlfn.SINGLE(_xlfn.XLOOKUP("holiday_flag", $U:$U, $V:$V)) + L130 * _xlfn.SINGLE(_xlfn.XLOOKUP("customer_rating", $U:$U, $V:$V)) + M130 * _xlfn.SINGLE(_xlfn.XLOOKUP("store_type_airport", $U:$U, $V:$V)) + N130 * _xlfn.SINGLE(_xlfn.XLOOKUP("store_type_high_street", $U:$U, $V:$V)) + O130 * _xlfn.SINGLE(_xlfn.XLOOKUP("store_type_mall", $U:$U, $V:$V))</f>
        <v>854266.54654554906</v>
      </c>
      <c r="Q130" s="7">
        <f t="shared" ref="Q130:Q193" si="9">E130-P130</f>
        <v>-5248.2465455490164</v>
      </c>
      <c r="R130" s="7">
        <f t="shared" ref="R130:R193" si="10">ABS(Q130)</f>
        <v>5248.2465455490164</v>
      </c>
      <c r="S130" s="2" t="str">
        <f t="shared" ref="S130:S193" si="11">IF(Q130&gt;0,"Positive residual - actual above prediction",IF(Q130&lt;0,"Negative residual - actual below prediction","No residual"))</f>
        <v>Negative residual - actual below prediction</v>
      </c>
      <c r="T130" s="2"/>
      <c r="U130" s="2"/>
      <c r="V130" s="2"/>
    </row>
    <row r="131" spans="1:22" x14ac:dyDescent="0.35">
      <c r="A131" s="2" t="str">
        <f>Dummy_Variables!A131</f>
        <v>STR-1033</v>
      </c>
      <c r="B131" s="2" t="str">
        <f>Dummy_Variables!B131</f>
        <v>2025-02</v>
      </c>
      <c r="C131" s="2" t="str">
        <f>Dummy_Variables!C131</f>
        <v>East</v>
      </c>
      <c r="D131" s="2" t="str">
        <f>Dummy_Variables!D131</f>
        <v>High Street</v>
      </c>
      <c r="E131" s="7">
        <f>Dummy_Variables!E131</f>
        <v>801830.35</v>
      </c>
      <c r="F131" s="7">
        <f>Dummy_Variables!F131</f>
        <v>68410.929999999993</v>
      </c>
      <c r="G131" s="7">
        <f>Dummy_Variables!G131</f>
        <v>10596</v>
      </c>
      <c r="H131" s="7">
        <f>Dummy_Variables!H131</f>
        <v>0.20699999999999999</v>
      </c>
      <c r="I131" s="7">
        <f>Dummy_Variables!I131</f>
        <v>25</v>
      </c>
      <c r="J131" s="7">
        <f>Dummy_Variables!J131</f>
        <v>81.2</v>
      </c>
      <c r="K131" s="2">
        <f>Dummy_Variables!K131</f>
        <v>0</v>
      </c>
      <c r="L131" s="7">
        <f>Dummy_Variables!L131</f>
        <v>4</v>
      </c>
      <c r="M131" s="2">
        <f>Dummy_Variables!M131</f>
        <v>0</v>
      </c>
      <c r="N131" s="2">
        <f>Dummy_Variables!N131</f>
        <v>1</v>
      </c>
      <c r="O131" s="2">
        <f>Dummy_Variables!O131</f>
        <v>0</v>
      </c>
      <c r="P131" s="7">
        <f t="shared" si="8"/>
        <v>807704.5395191951</v>
      </c>
      <c r="Q131" s="7">
        <f t="shared" si="9"/>
        <v>-5874.1895191951189</v>
      </c>
      <c r="R131" s="7">
        <f t="shared" si="10"/>
        <v>5874.1895191951189</v>
      </c>
      <c r="S131" s="2" t="str">
        <f t="shared" si="11"/>
        <v>Negative residual - actual below prediction</v>
      </c>
      <c r="T131" s="2"/>
      <c r="U131" s="2"/>
      <c r="V131" s="2"/>
    </row>
    <row r="132" spans="1:22" x14ac:dyDescent="0.35">
      <c r="A132" s="2" t="str">
        <f>Dummy_Variables!A132</f>
        <v>STR-1033</v>
      </c>
      <c r="B132" s="2" t="str">
        <f>Dummy_Variables!B132</f>
        <v>2025-03</v>
      </c>
      <c r="C132" s="2" t="str">
        <f>Dummy_Variables!C132</f>
        <v>East</v>
      </c>
      <c r="D132" s="2" t="str">
        <f>Dummy_Variables!D132</f>
        <v>High Street</v>
      </c>
      <c r="E132" s="7">
        <f>Dummy_Variables!E132</f>
        <v>725235.28</v>
      </c>
      <c r="F132" s="7">
        <f>Dummy_Variables!F132</f>
        <v>50735.63</v>
      </c>
      <c r="G132" s="7">
        <f>Dummy_Variables!G132</f>
        <v>9619</v>
      </c>
      <c r="H132" s="7">
        <f>Dummy_Variables!H132</f>
        <v>0.14399999999999999</v>
      </c>
      <c r="I132" s="7">
        <f>Dummy_Variables!I132</f>
        <v>19</v>
      </c>
      <c r="J132" s="7">
        <f>Dummy_Variables!J132</f>
        <v>93.8</v>
      </c>
      <c r="K132" s="2">
        <f>Dummy_Variables!K132</f>
        <v>1</v>
      </c>
      <c r="L132" s="7">
        <f>Dummy_Variables!L132</f>
        <v>4.5</v>
      </c>
      <c r="M132" s="2">
        <f>Dummy_Variables!M132</f>
        <v>0</v>
      </c>
      <c r="N132" s="2">
        <f>Dummy_Variables!N132</f>
        <v>1</v>
      </c>
      <c r="O132" s="2">
        <f>Dummy_Variables!O132</f>
        <v>0</v>
      </c>
      <c r="P132" s="7">
        <f t="shared" si="8"/>
        <v>803100.87882027705</v>
      </c>
      <c r="Q132" s="7">
        <f t="shared" si="9"/>
        <v>-77865.598820277024</v>
      </c>
      <c r="R132" s="7">
        <f t="shared" si="10"/>
        <v>77865.598820277024</v>
      </c>
      <c r="S132" s="2" t="str">
        <f t="shared" si="11"/>
        <v>Negative residual - actual below prediction</v>
      </c>
      <c r="T132" s="2"/>
      <c r="U132" s="2"/>
      <c r="V132" s="2"/>
    </row>
    <row r="133" spans="1:22" x14ac:dyDescent="0.35">
      <c r="A133" s="2" t="str">
        <f>Dummy_Variables!A133</f>
        <v>STR-1033</v>
      </c>
      <c r="B133" s="2" t="str">
        <f>Dummy_Variables!B133</f>
        <v>2025-04</v>
      </c>
      <c r="C133" s="2" t="str">
        <f>Dummy_Variables!C133</f>
        <v>East</v>
      </c>
      <c r="D133" s="2" t="str">
        <f>Dummy_Variables!D133</f>
        <v>High Street</v>
      </c>
      <c r="E133" s="7">
        <f>Dummy_Variables!E133</f>
        <v>811452.72</v>
      </c>
      <c r="F133" s="7">
        <f>Dummy_Variables!F133</f>
        <v>66455.8</v>
      </c>
      <c r="G133" s="7">
        <f>Dummy_Variables!G133</f>
        <v>10836</v>
      </c>
      <c r="H133" s="7">
        <f>Dummy_Variables!H133</f>
        <v>8.8999999999999996E-2</v>
      </c>
      <c r="I133" s="7">
        <f>Dummy_Variables!I133</f>
        <v>25</v>
      </c>
      <c r="J133" s="7">
        <f>Dummy_Variables!J133</f>
        <v>85</v>
      </c>
      <c r="K133" s="2">
        <f>Dummy_Variables!K133</f>
        <v>0</v>
      </c>
      <c r="L133" s="7">
        <f>Dummy_Variables!L133</f>
        <v>4.5</v>
      </c>
      <c r="M133" s="2">
        <f>Dummy_Variables!M133</f>
        <v>0</v>
      </c>
      <c r="N133" s="2">
        <f>Dummy_Variables!N133</f>
        <v>1</v>
      </c>
      <c r="O133" s="2">
        <f>Dummy_Variables!O133</f>
        <v>0</v>
      </c>
      <c r="P133" s="7">
        <f t="shared" si="8"/>
        <v>837932.71198725526</v>
      </c>
      <c r="Q133" s="7">
        <f t="shared" si="9"/>
        <v>-26479.991987255285</v>
      </c>
      <c r="R133" s="7">
        <f t="shared" si="10"/>
        <v>26479.991987255285</v>
      </c>
      <c r="S133" s="2" t="str">
        <f t="shared" si="11"/>
        <v>Negative residual - actual below prediction</v>
      </c>
      <c r="T133" s="2"/>
      <c r="U133" s="2"/>
      <c r="V133" s="2"/>
    </row>
    <row r="134" spans="1:22" x14ac:dyDescent="0.35">
      <c r="A134" s="2" t="str">
        <f>Dummy_Variables!A134</f>
        <v>STR-1034</v>
      </c>
      <c r="B134" s="2" t="str">
        <f>Dummy_Variables!B134</f>
        <v>2025-01</v>
      </c>
      <c r="C134" s="2" t="str">
        <f>Dummy_Variables!C134</f>
        <v>North</v>
      </c>
      <c r="D134" s="2" t="str">
        <f>Dummy_Variables!D134</f>
        <v>High Street</v>
      </c>
      <c r="E134" s="7">
        <f>Dummy_Variables!E134</f>
        <v>527300.13</v>
      </c>
      <c r="F134" s="7">
        <f>Dummy_Variables!F134</f>
        <v>70276.28</v>
      </c>
      <c r="G134" s="7">
        <f>Dummy_Variables!G134</f>
        <v>3043</v>
      </c>
      <c r="H134" s="7">
        <f>Dummy_Variables!H134</f>
        <v>7.9000000000000001E-2</v>
      </c>
      <c r="I134" s="7">
        <f>Dummy_Variables!I134</f>
        <v>9</v>
      </c>
      <c r="J134" s="7">
        <f>Dummy_Variables!J134</f>
        <v>87.9</v>
      </c>
      <c r="K134" s="2">
        <f>Dummy_Variables!K134</f>
        <v>0</v>
      </c>
      <c r="L134" s="7">
        <f>Dummy_Variables!L134</f>
        <v>4.4000000000000004</v>
      </c>
      <c r="M134" s="2">
        <f>Dummy_Variables!M134</f>
        <v>0</v>
      </c>
      <c r="N134" s="2">
        <f>Dummy_Variables!N134</f>
        <v>1</v>
      </c>
      <c r="O134" s="2">
        <f>Dummy_Variables!O134</f>
        <v>0</v>
      </c>
      <c r="P134" s="7">
        <f t="shared" si="8"/>
        <v>583832.02528518741</v>
      </c>
      <c r="Q134" s="7">
        <f t="shared" si="9"/>
        <v>-56531.895285187406</v>
      </c>
      <c r="R134" s="7">
        <f t="shared" si="10"/>
        <v>56531.895285187406</v>
      </c>
      <c r="S134" s="2" t="str">
        <f t="shared" si="11"/>
        <v>Negative residual - actual below prediction</v>
      </c>
      <c r="T134" s="2"/>
      <c r="U134" s="2"/>
      <c r="V134" s="2"/>
    </row>
    <row r="135" spans="1:22" x14ac:dyDescent="0.35">
      <c r="A135" s="2" t="str">
        <f>Dummy_Variables!A135</f>
        <v>STR-1034</v>
      </c>
      <c r="B135" s="2" t="str">
        <f>Dummy_Variables!B135</f>
        <v>2025-02</v>
      </c>
      <c r="C135" s="2" t="str">
        <f>Dummy_Variables!C135</f>
        <v>North</v>
      </c>
      <c r="D135" s="2" t="str">
        <f>Dummy_Variables!D135</f>
        <v>High Street</v>
      </c>
      <c r="E135" s="7">
        <f>Dummy_Variables!E135</f>
        <v>400831.65</v>
      </c>
      <c r="F135" s="7">
        <f>Dummy_Variables!F135</f>
        <v>22071.64</v>
      </c>
      <c r="G135" s="7">
        <f>Dummy_Variables!G135</f>
        <v>1814</v>
      </c>
      <c r="H135" s="7">
        <f>Dummy_Variables!H135</f>
        <v>0.19600000000000001</v>
      </c>
      <c r="I135" s="7">
        <f>Dummy_Variables!I135</f>
        <v>8</v>
      </c>
      <c r="J135" s="7">
        <f>Dummy_Variables!J135</f>
        <v>81.099999999999994</v>
      </c>
      <c r="K135" s="2">
        <f>Dummy_Variables!K135</f>
        <v>0</v>
      </c>
      <c r="L135" s="7">
        <f>Dummy_Variables!L135</f>
        <v>0</v>
      </c>
      <c r="M135" s="2">
        <f>Dummy_Variables!M135</f>
        <v>0</v>
      </c>
      <c r="N135" s="2">
        <f>Dummy_Variables!N135</f>
        <v>1</v>
      </c>
      <c r="O135" s="2">
        <f>Dummy_Variables!O135</f>
        <v>0</v>
      </c>
      <c r="P135" s="7">
        <f t="shared" si="8"/>
        <v>404972.35115890496</v>
      </c>
      <c r="Q135" s="7">
        <f t="shared" si="9"/>
        <v>-4140.7011589049362</v>
      </c>
      <c r="R135" s="7">
        <f t="shared" si="10"/>
        <v>4140.7011589049362</v>
      </c>
      <c r="S135" s="2" t="str">
        <f t="shared" si="11"/>
        <v>Negative residual - actual below prediction</v>
      </c>
      <c r="T135" s="2"/>
      <c r="U135" s="2"/>
      <c r="V135" s="2"/>
    </row>
    <row r="136" spans="1:22" x14ac:dyDescent="0.35">
      <c r="A136" s="2" t="str">
        <f>Dummy_Variables!A136</f>
        <v>STR-1034</v>
      </c>
      <c r="B136" s="2" t="str">
        <f>Dummy_Variables!B136</f>
        <v>2025-03</v>
      </c>
      <c r="C136" s="2" t="str">
        <f>Dummy_Variables!C136</f>
        <v>North</v>
      </c>
      <c r="D136" s="2" t="str">
        <f>Dummy_Variables!D136</f>
        <v>High Street</v>
      </c>
      <c r="E136" s="7">
        <f>Dummy_Variables!E136</f>
        <v>593247.25</v>
      </c>
      <c r="F136" s="7">
        <f>Dummy_Variables!F136</f>
        <v>52285.45</v>
      </c>
      <c r="G136" s="7">
        <f>Dummy_Variables!G136</f>
        <v>3618</v>
      </c>
      <c r="H136" s="7">
        <f>Dummy_Variables!H136</f>
        <v>8.5999999999999993E-2</v>
      </c>
      <c r="I136" s="7">
        <f>Dummy_Variables!I136</f>
        <v>11</v>
      </c>
      <c r="J136" s="7">
        <f>Dummy_Variables!J136</f>
        <v>95.6</v>
      </c>
      <c r="K136" s="2">
        <f>Dummy_Variables!K136</f>
        <v>1</v>
      </c>
      <c r="L136" s="7">
        <f>Dummy_Variables!L136</f>
        <v>4.4000000000000004</v>
      </c>
      <c r="M136" s="2">
        <f>Dummy_Variables!M136</f>
        <v>0</v>
      </c>
      <c r="N136" s="2">
        <f>Dummy_Variables!N136</f>
        <v>1</v>
      </c>
      <c r="O136" s="2">
        <f>Dummy_Variables!O136</f>
        <v>0</v>
      </c>
      <c r="P136" s="7">
        <f t="shared" si="8"/>
        <v>619704.05034991796</v>
      </c>
      <c r="Q136" s="7">
        <f t="shared" si="9"/>
        <v>-26456.800349917961</v>
      </c>
      <c r="R136" s="7">
        <f t="shared" si="10"/>
        <v>26456.800349917961</v>
      </c>
      <c r="S136" s="2" t="str">
        <f t="shared" si="11"/>
        <v>Negative residual - actual below prediction</v>
      </c>
      <c r="T136" s="2"/>
      <c r="U136" s="2"/>
      <c r="V136" s="2"/>
    </row>
    <row r="137" spans="1:22" x14ac:dyDescent="0.35">
      <c r="A137" s="2" t="str">
        <f>Dummy_Variables!A137</f>
        <v>STR-1034</v>
      </c>
      <c r="B137" s="2" t="str">
        <f>Dummy_Variables!B137</f>
        <v>2025-04</v>
      </c>
      <c r="C137" s="2" t="str">
        <f>Dummy_Variables!C137</f>
        <v>North</v>
      </c>
      <c r="D137" s="2" t="str">
        <f>Dummy_Variables!D137</f>
        <v>High Street</v>
      </c>
      <c r="E137" s="7">
        <f>Dummy_Variables!E137</f>
        <v>529075.94999999995</v>
      </c>
      <c r="F137" s="7">
        <f>Dummy_Variables!F137</f>
        <v>70366.759999999995</v>
      </c>
      <c r="G137" s="7">
        <f>Dummy_Variables!G137</f>
        <v>1963</v>
      </c>
      <c r="H137" s="7">
        <f>Dummy_Variables!H137</f>
        <v>0.182</v>
      </c>
      <c r="I137" s="7">
        <f>Dummy_Variables!I137</f>
        <v>8</v>
      </c>
      <c r="J137" s="7">
        <f>Dummy_Variables!J137</f>
        <v>89.8</v>
      </c>
      <c r="K137" s="2">
        <f>Dummy_Variables!K137</f>
        <v>0</v>
      </c>
      <c r="L137" s="7">
        <f>Dummy_Variables!L137</f>
        <v>4.5999999999999996</v>
      </c>
      <c r="M137" s="2">
        <f>Dummy_Variables!M137</f>
        <v>0</v>
      </c>
      <c r="N137" s="2">
        <f>Dummy_Variables!N137</f>
        <v>1</v>
      </c>
      <c r="O137" s="2">
        <f>Dummy_Variables!O137</f>
        <v>0</v>
      </c>
      <c r="P137" s="7">
        <f t="shared" si="8"/>
        <v>552028.39344912395</v>
      </c>
      <c r="Q137" s="7">
        <f t="shared" si="9"/>
        <v>-22952.443449123995</v>
      </c>
      <c r="R137" s="7">
        <f t="shared" si="10"/>
        <v>22952.443449123995</v>
      </c>
      <c r="S137" s="2" t="str">
        <f t="shared" si="11"/>
        <v>Negative residual - actual below prediction</v>
      </c>
      <c r="T137" s="2"/>
      <c r="U137" s="2"/>
      <c r="V137" s="2"/>
    </row>
    <row r="138" spans="1:22" x14ac:dyDescent="0.35">
      <c r="A138" s="2" t="str">
        <f>Dummy_Variables!A138</f>
        <v>STR-1035</v>
      </c>
      <c r="B138" s="2" t="str">
        <f>Dummy_Variables!B138</f>
        <v>2025-01</v>
      </c>
      <c r="C138" s="2" t="str">
        <f>Dummy_Variables!C138</f>
        <v>South</v>
      </c>
      <c r="D138" s="2" t="str">
        <f>Dummy_Variables!D138</f>
        <v>Residential</v>
      </c>
      <c r="E138" s="7">
        <f>Dummy_Variables!E138</f>
        <v>633638.03</v>
      </c>
      <c r="F138" s="7">
        <f>Dummy_Variables!F138</f>
        <v>71320.66</v>
      </c>
      <c r="G138" s="7">
        <f>Dummy_Variables!G138</f>
        <v>7888</v>
      </c>
      <c r="H138" s="7">
        <f>Dummy_Variables!H138</f>
        <v>4.8000000000000001E-2</v>
      </c>
      <c r="I138" s="7">
        <f>Dummy_Variables!I138</f>
        <v>20</v>
      </c>
      <c r="J138" s="7">
        <f>Dummy_Variables!J138</f>
        <v>78.099999999999994</v>
      </c>
      <c r="K138" s="2">
        <f>Dummy_Variables!K138</f>
        <v>0</v>
      </c>
      <c r="L138" s="7">
        <f>Dummy_Variables!L138</f>
        <v>0</v>
      </c>
      <c r="M138" s="2">
        <f>Dummy_Variables!M138</f>
        <v>0</v>
      </c>
      <c r="N138" s="2">
        <f>Dummy_Variables!N138</f>
        <v>0</v>
      </c>
      <c r="O138" s="2">
        <f>Dummy_Variables!O138</f>
        <v>0</v>
      </c>
      <c r="P138" s="7">
        <f t="shared" si="8"/>
        <v>651079.23313600675</v>
      </c>
      <c r="Q138" s="7">
        <f t="shared" si="9"/>
        <v>-17441.203136006719</v>
      </c>
      <c r="R138" s="7">
        <f t="shared" si="10"/>
        <v>17441.203136006719</v>
      </c>
      <c r="S138" s="2" t="str">
        <f t="shared" si="11"/>
        <v>Negative residual - actual below prediction</v>
      </c>
      <c r="T138" s="2"/>
      <c r="U138" s="2"/>
      <c r="V138" s="2"/>
    </row>
    <row r="139" spans="1:22" x14ac:dyDescent="0.35">
      <c r="A139" s="2" t="str">
        <f>Dummy_Variables!A139</f>
        <v>STR-1035</v>
      </c>
      <c r="B139" s="2" t="str">
        <f>Dummy_Variables!B139</f>
        <v>2025-02</v>
      </c>
      <c r="C139" s="2" t="str">
        <f>Dummy_Variables!C139</f>
        <v>South</v>
      </c>
      <c r="D139" s="2" t="str">
        <f>Dummy_Variables!D139</f>
        <v>Residential</v>
      </c>
      <c r="E139" s="7">
        <f>Dummy_Variables!E139</f>
        <v>743348.84</v>
      </c>
      <c r="F139" s="7">
        <f>Dummy_Variables!F139</f>
        <v>75109.67</v>
      </c>
      <c r="G139" s="7">
        <f>Dummy_Variables!G139</f>
        <v>6244</v>
      </c>
      <c r="H139" s="7">
        <f>Dummy_Variables!H139</f>
        <v>7.9000000000000001E-2</v>
      </c>
      <c r="I139" s="7">
        <f>Dummy_Variables!I139</f>
        <v>15</v>
      </c>
      <c r="J139" s="7">
        <f>Dummy_Variables!J139</f>
        <v>96.3</v>
      </c>
      <c r="K139" s="2">
        <f>Dummy_Variables!K139</f>
        <v>0</v>
      </c>
      <c r="L139" s="7">
        <f>Dummy_Variables!L139</f>
        <v>3.7</v>
      </c>
      <c r="M139" s="2">
        <f>Dummy_Variables!M139</f>
        <v>0</v>
      </c>
      <c r="N139" s="2">
        <f>Dummy_Variables!N139</f>
        <v>0</v>
      </c>
      <c r="O139" s="2">
        <f>Dummy_Variables!O139</f>
        <v>0</v>
      </c>
      <c r="P139" s="7">
        <f t="shared" si="8"/>
        <v>695604.90086662699</v>
      </c>
      <c r="Q139" s="7">
        <f t="shared" si="9"/>
        <v>47743.939133372973</v>
      </c>
      <c r="R139" s="7">
        <f t="shared" si="10"/>
        <v>47743.939133372973</v>
      </c>
      <c r="S139" s="2" t="str">
        <f t="shared" si="11"/>
        <v>Positive residual - actual above prediction</v>
      </c>
      <c r="T139" s="2"/>
      <c r="U139" s="2"/>
      <c r="V139" s="2"/>
    </row>
    <row r="140" spans="1:22" x14ac:dyDescent="0.35">
      <c r="A140" s="2" t="str">
        <f>Dummy_Variables!A140</f>
        <v>STR-1035</v>
      </c>
      <c r="B140" s="2" t="str">
        <f>Dummy_Variables!B140</f>
        <v>2025-03</v>
      </c>
      <c r="C140" s="2" t="str">
        <f>Dummy_Variables!C140</f>
        <v>South</v>
      </c>
      <c r="D140" s="2" t="str">
        <f>Dummy_Variables!D140</f>
        <v>Residential</v>
      </c>
      <c r="E140" s="7">
        <f>Dummy_Variables!E140</f>
        <v>758827.64</v>
      </c>
      <c r="F140" s="7">
        <f>Dummy_Variables!F140</f>
        <v>69779</v>
      </c>
      <c r="G140" s="7">
        <f>Dummy_Variables!G140</f>
        <v>6544</v>
      </c>
      <c r="H140" s="7">
        <f>Dummy_Variables!H140</f>
        <v>0.152</v>
      </c>
      <c r="I140" s="7">
        <f>Dummy_Variables!I140</f>
        <v>18</v>
      </c>
      <c r="J140" s="7">
        <f>Dummy_Variables!J140</f>
        <v>90.2</v>
      </c>
      <c r="K140" s="2">
        <f>Dummy_Variables!K140</f>
        <v>1</v>
      </c>
      <c r="L140" s="7">
        <f>Dummy_Variables!L140</f>
        <v>3.3</v>
      </c>
      <c r="M140" s="2">
        <f>Dummy_Variables!M140</f>
        <v>0</v>
      </c>
      <c r="N140" s="2">
        <f>Dummy_Variables!N140</f>
        <v>0</v>
      </c>
      <c r="O140" s="2">
        <f>Dummy_Variables!O140</f>
        <v>0</v>
      </c>
      <c r="P140" s="7">
        <f t="shared" si="8"/>
        <v>689996.63172161486</v>
      </c>
      <c r="Q140" s="7">
        <f t="shared" si="9"/>
        <v>68831.008278385154</v>
      </c>
      <c r="R140" s="7">
        <f t="shared" si="10"/>
        <v>68831.008278385154</v>
      </c>
      <c r="S140" s="2" t="str">
        <f t="shared" si="11"/>
        <v>Positive residual - actual above prediction</v>
      </c>
      <c r="T140" s="2"/>
      <c r="U140" s="2"/>
      <c r="V140" s="2"/>
    </row>
    <row r="141" spans="1:22" x14ac:dyDescent="0.35">
      <c r="A141" s="2" t="str">
        <f>Dummy_Variables!A141</f>
        <v>STR-1035</v>
      </c>
      <c r="B141" s="2" t="str">
        <f>Dummy_Variables!B141</f>
        <v>2025-04</v>
      </c>
      <c r="C141" s="2" t="str">
        <f>Dummy_Variables!C141</f>
        <v>South</v>
      </c>
      <c r="D141" s="2" t="str">
        <f>Dummy_Variables!D141</f>
        <v>Residential</v>
      </c>
      <c r="E141" s="7">
        <f>Dummy_Variables!E141</f>
        <v>646559.71</v>
      </c>
      <c r="F141" s="7">
        <f>Dummy_Variables!F141</f>
        <v>44211.95</v>
      </c>
      <c r="G141" s="7">
        <f>Dummy_Variables!G141</f>
        <v>5465</v>
      </c>
      <c r="H141" s="7">
        <f>Dummy_Variables!H141</f>
        <v>0.187</v>
      </c>
      <c r="I141" s="7">
        <f>Dummy_Variables!I141</f>
        <v>12</v>
      </c>
      <c r="J141" s="7">
        <f>Dummy_Variables!J141</f>
        <v>90</v>
      </c>
      <c r="K141" s="2">
        <f>Dummy_Variables!K141</f>
        <v>0</v>
      </c>
      <c r="L141" s="7">
        <f>Dummy_Variables!L141</f>
        <v>3.6</v>
      </c>
      <c r="M141" s="2">
        <f>Dummy_Variables!M141</f>
        <v>0</v>
      </c>
      <c r="N141" s="2">
        <f>Dummy_Variables!N141</f>
        <v>0</v>
      </c>
      <c r="O141" s="2">
        <f>Dummy_Variables!O141</f>
        <v>0</v>
      </c>
      <c r="P141" s="7">
        <f t="shared" si="8"/>
        <v>601908.77135857905</v>
      </c>
      <c r="Q141" s="7">
        <f t="shared" si="9"/>
        <v>44650.938641420915</v>
      </c>
      <c r="R141" s="7">
        <f t="shared" si="10"/>
        <v>44650.938641420915</v>
      </c>
      <c r="S141" s="2" t="str">
        <f t="shared" si="11"/>
        <v>Positive residual - actual above prediction</v>
      </c>
      <c r="T141" s="2"/>
      <c r="U141" s="2"/>
      <c r="V141" s="2"/>
    </row>
    <row r="142" spans="1:22" x14ac:dyDescent="0.35">
      <c r="A142" s="2" t="str">
        <f>Dummy_Variables!A142</f>
        <v>STR-1036</v>
      </c>
      <c r="B142" s="2" t="str">
        <f>Dummy_Variables!B142</f>
        <v>2025-01</v>
      </c>
      <c r="C142" s="2" t="str">
        <f>Dummy_Variables!C142</f>
        <v>West</v>
      </c>
      <c r="D142" s="2" t="str">
        <f>Dummy_Variables!D142</f>
        <v>High Street</v>
      </c>
      <c r="E142" s="7">
        <f>Dummy_Variables!E142</f>
        <v>715890.53</v>
      </c>
      <c r="F142" s="7">
        <f>Dummy_Variables!F142</f>
        <v>51430.31</v>
      </c>
      <c r="G142" s="7">
        <f>Dummy_Variables!G142</f>
        <v>6427</v>
      </c>
      <c r="H142" s="7">
        <f>Dummy_Variables!H142</f>
        <v>0.23400000000000001</v>
      </c>
      <c r="I142" s="7">
        <f>Dummy_Variables!I142</f>
        <v>14</v>
      </c>
      <c r="J142" s="7">
        <f>Dummy_Variables!J142</f>
        <v>88.8</v>
      </c>
      <c r="K142" s="2">
        <f>Dummy_Variables!K142</f>
        <v>0</v>
      </c>
      <c r="L142" s="7">
        <f>Dummy_Variables!L142</f>
        <v>4.0999999999999996</v>
      </c>
      <c r="M142" s="2">
        <f>Dummy_Variables!M142</f>
        <v>0</v>
      </c>
      <c r="N142" s="2">
        <f>Dummy_Variables!N142</f>
        <v>1</v>
      </c>
      <c r="O142" s="2">
        <f>Dummy_Variables!O142</f>
        <v>0</v>
      </c>
      <c r="P142" s="7">
        <f t="shared" si="8"/>
        <v>660999.32120221283</v>
      </c>
      <c r="Q142" s="7">
        <f t="shared" si="9"/>
        <v>54891.2087977872</v>
      </c>
      <c r="R142" s="7">
        <f t="shared" si="10"/>
        <v>54891.2087977872</v>
      </c>
      <c r="S142" s="2" t="str">
        <f t="shared" si="11"/>
        <v>Positive residual - actual above prediction</v>
      </c>
      <c r="T142" s="2"/>
      <c r="U142" s="2"/>
      <c r="V142" s="2"/>
    </row>
    <row r="143" spans="1:22" x14ac:dyDescent="0.35">
      <c r="A143" s="2" t="str">
        <f>Dummy_Variables!A143</f>
        <v>STR-1036</v>
      </c>
      <c r="B143" s="2" t="str">
        <f>Dummy_Variables!B143</f>
        <v>2025-02</v>
      </c>
      <c r="C143" s="2" t="str">
        <f>Dummy_Variables!C143</f>
        <v>West</v>
      </c>
      <c r="D143" s="2" t="str">
        <f>Dummy_Variables!D143</f>
        <v>High Street</v>
      </c>
      <c r="E143" s="7">
        <f>Dummy_Variables!E143</f>
        <v>715097.57</v>
      </c>
      <c r="F143" s="7">
        <f>Dummy_Variables!F143</f>
        <v>45706.49</v>
      </c>
      <c r="G143" s="7">
        <f>Dummy_Variables!G143</f>
        <v>6704</v>
      </c>
      <c r="H143" s="7">
        <f>Dummy_Variables!H143</f>
        <v>3.7999999999999999E-2</v>
      </c>
      <c r="I143" s="7">
        <f>Dummy_Variables!I143</f>
        <v>15</v>
      </c>
      <c r="J143" s="7">
        <f>Dummy_Variables!J143</f>
        <v>94.2</v>
      </c>
      <c r="K143" s="2">
        <f>Dummy_Variables!K143</f>
        <v>0</v>
      </c>
      <c r="L143" s="7">
        <f>Dummy_Variables!L143</f>
        <v>4.2</v>
      </c>
      <c r="M143" s="2">
        <f>Dummy_Variables!M143</f>
        <v>0</v>
      </c>
      <c r="N143" s="2">
        <f>Dummy_Variables!N143</f>
        <v>1</v>
      </c>
      <c r="O143" s="2">
        <f>Dummy_Variables!O143</f>
        <v>0</v>
      </c>
      <c r="P143" s="7">
        <f t="shared" si="8"/>
        <v>695463.67764753883</v>
      </c>
      <c r="Q143" s="7">
        <f t="shared" si="9"/>
        <v>19633.892352461116</v>
      </c>
      <c r="R143" s="7">
        <f t="shared" si="10"/>
        <v>19633.892352461116</v>
      </c>
      <c r="S143" s="2" t="str">
        <f t="shared" si="11"/>
        <v>Positive residual - actual above prediction</v>
      </c>
      <c r="T143" s="2"/>
      <c r="U143" s="2"/>
      <c r="V143" s="2"/>
    </row>
    <row r="144" spans="1:22" x14ac:dyDescent="0.35">
      <c r="A144" s="2" t="str">
        <f>Dummy_Variables!A144</f>
        <v>STR-1036</v>
      </c>
      <c r="B144" s="2" t="str">
        <f>Dummy_Variables!B144</f>
        <v>2025-03</v>
      </c>
      <c r="C144" s="2" t="str">
        <f>Dummy_Variables!C144</f>
        <v>West</v>
      </c>
      <c r="D144" s="2" t="str">
        <f>Dummy_Variables!D144</f>
        <v>High Street</v>
      </c>
      <c r="E144" s="7">
        <f>Dummy_Variables!E144</f>
        <v>682639.28</v>
      </c>
      <c r="F144" s="7">
        <f>Dummy_Variables!F144</f>
        <v>44034.6</v>
      </c>
      <c r="G144" s="7">
        <f>Dummy_Variables!G144</f>
        <v>5645</v>
      </c>
      <c r="H144" s="7">
        <f>Dummy_Variables!H144</f>
        <v>6.9000000000000006E-2</v>
      </c>
      <c r="I144" s="7">
        <f>Dummy_Variables!I144</f>
        <v>18</v>
      </c>
      <c r="J144" s="7">
        <f>Dummy_Variables!J144</f>
        <v>88.5</v>
      </c>
      <c r="K144" s="2">
        <f>Dummy_Variables!K144</f>
        <v>0</v>
      </c>
      <c r="L144" s="7">
        <f>Dummy_Variables!L144</f>
        <v>3.8</v>
      </c>
      <c r="M144" s="2">
        <f>Dummy_Variables!M144</f>
        <v>0</v>
      </c>
      <c r="N144" s="2">
        <f>Dummy_Variables!N144</f>
        <v>1</v>
      </c>
      <c r="O144" s="2">
        <f>Dummy_Variables!O144</f>
        <v>0</v>
      </c>
      <c r="P144" s="7">
        <f t="shared" si="8"/>
        <v>647495.62445607607</v>
      </c>
      <c r="Q144" s="7">
        <f t="shared" si="9"/>
        <v>35143.65554392396</v>
      </c>
      <c r="R144" s="7">
        <f t="shared" si="10"/>
        <v>35143.65554392396</v>
      </c>
      <c r="S144" s="2" t="str">
        <f t="shared" si="11"/>
        <v>Positive residual - actual above prediction</v>
      </c>
      <c r="T144" s="2"/>
      <c r="U144" s="2"/>
      <c r="V144" s="2"/>
    </row>
    <row r="145" spans="1:22" x14ac:dyDescent="0.35">
      <c r="A145" s="2" t="str">
        <f>Dummy_Variables!A145</f>
        <v>STR-1036</v>
      </c>
      <c r="B145" s="2" t="str">
        <f>Dummy_Variables!B145</f>
        <v>2025-04</v>
      </c>
      <c r="C145" s="2" t="str">
        <f>Dummy_Variables!C145</f>
        <v>West</v>
      </c>
      <c r="D145" s="2" t="str">
        <f>Dummy_Variables!D145</f>
        <v>High Street</v>
      </c>
      <c r="E145" s="7">
        <f>Dummy_Variables!E145</f>
        <v>695098.51</v>
      </c>
      <c r="F145" s="7">
        <f>Dummy_Variables!F145</f>
        <v>50198.12</v>
      </c>
      <c r="G145" s="7">
        <f>Dummy_Variables!G145</f>
        <v>6089</v>
      </c>
      <c r="H145" s="7">
        <f>Dummy_Variables!H145</f>
        <v>0.182</v>
      </c>
      <c r="I145" s="7">
        <f>Dummy_Variables!I145</f>
        <v>19</v>
      </c>
      <c r="J145" s="7">
        <f>Dummy_Variables!J145</f>
        <v>94</v>
      </c>
      <c r="K145" s="2">
        <f>Dummy_Variables!K145</f>
        <v>0</v>
      </c>
      <c r="L145" s="7">
        <f>Dummy_Variables!L145</f>
        <v>3.9</v>
      </c>
      <c r="M145" s="2">
        <f>Dummy_Variables!M145</f>
        <v>0</v>
      </c>
      <c r="N145" s="2">
        <f>Dummy_Variables!N145</f>
        <v>1</v>
      </c>
      <c r="O145" s="2">
        <f>Dummy_Variables!O145</f>
        <v>0</v>
      </c>
      <c r="P145" s="7">
        <f t="shared" si="8"/>
        <v>680570.72749865102</v>
      </c>
      <c r="Q145" s="7">
        <f t="shared" si="9"/>
        <v>14527.782501348993</v>
      </c>
      <c r="R145" s="7">
        <f t="shared" si="10"/>
        <v>14527.782501348993</v>
      </c>
      <c r="S145" s="2" t="str">
        <f t="shared" si="11"/>
        <v>Positive residual - actual above prediction</v>
      </c>
      <c r="T145" s="2"/>
      <c r="U145" s="2"/>
      <c r="V145" s="2"/>
    </row>
    <row r="146" spans="1:22" x14ac:dyDescent="0.35">
      <c r="A146" s="2" t="str">
        <f>Dummy_Variables!A146</f>
        <v>STR-1037</v>
      </c>
      <c r="B146" s="2" t="str">
        <f>Dummy_Variables!B146</f>
        <v>2025-01</v>
      </c>
      <c r="C146" s="2" t="str">
        <f>Dummy_Variables!C146</f>
        <v>North</v>
      </c>
      <c r="D146" s="2" t="str">
        <f>Dummy_Variables!D146</f>
        <v>Residential</v>
      </c>
      <c r="E146" s="7">
        <f>Dummy_Variables!E146</f>
        <v>577732.56999999995</v>
      </c>
      <c r="F146" s="7">
        <f>Dummy_Variables!F146</f>
        <v>70488.2</v>
      </c>
      <c r="G146" s="7">
        <f>Dummy_Variables!G146</f>
        <v>4312</v>
      </c>
      <c r="H146" s="7">
        <f>Dummy_Variables!H146</f>
        <v>0.16900000000000001</v>
      </c>
      <c r="I146" s="7">
        <f>Dummy_Variables!I146</f>
        <v>12</v>
      </c>
      <c r="J146" s="7">
        <f>Dummy_Variables!J146</f>
        <v>90.2</v>
      </c>
      <c r="K146" s="2">
        <f>Dummy_Variables!K146</f>
        <v>0</v>
      </c>
      <c r="L146" s="7">
        <f>Dummy_Variables!L146</f>
        <v>3.2</v>
      </c>
      <c r="M146" s="2">
        <f>Dummy_Variables!M146</f>
        <v>0</v>
      </c>
      <c r="N146" s="2">
        <f>Dummy_Variables!N146</f>
        <v>0</v>
      </c>
      <c r="O146" s="2">
        <f>Dummy_Variables!O146</f>
        <v>0</v>
      </c>
      <c r="P146" s="7">
        <f t="shared" si="8"/>
        <v>596113.92695463647</v>
      </c>
      <c r="Q146" s="7">
        <f t="shared" si="9"/>
        <v>-18381.356954636518</v>
      </c>
      <c r="R146" s="7">
        <f t="shared" si="10"/>
        <v>18381.356954636518</v>
      </c>
      <c r="S146" s="2" t="str">
        <f t="shared" si="11"/>
        <v>Negative residual - actual below prediction</v>
      </c>
      <c r="T146" s="2"/>
      <c r="U146" s="2"/>
      <c r="V146" s="2"/>
    </row>
    <row r="147" spans="1:22" x14ac:dyDescent="0.35">
      <c r="A147" s="2" t="str">
        <f>Dummy_Variables!A147</f>
        <v>STR-1037</v>
      </c>
      <c r="B147" s="2" t="str">
        <f>Dummy_Variables!B147</f>
        <v>2025-02</v>
      </c>
      <c r="C147" s="2" t="str">
        <f>Dummy_Variables!C147</f>
        <v>North</v>
      </c>
      <c r="D147" s="2" t="str">
        <f>Dummy_Variables!D147</f>
        <v>Residential</v>
      </c>
      <c r="E147" s="7">
        <f>Dummy_Variables!E147</f>
        <v>537058.32999999996</v>
      </c>
      <c r="F147" s="7">
        <f>Dummy_Variables!F147</f>
        <v>50909.27</v>
      </c>
      <c r="G147" s="7">
        <f>Dummy_Variables!G147</f>
        <v>3152</v>
      </c>
      <c r="H147" s="7">
        <f>Dummy_Variables!H147</f>
        <v>0.06</v>
      </c>
      <c r="I147" s="7">
        <f>Dummy_Variables!I147</f>
        <v>13</v>
      </c>
      <c r="J147" s="7">
        <f>Dummy_Variables!J147</f>
        <v>93.7</v>
      </c>
      <c r="K147" s="2">
        <f>Dummy_Variables!K147</f>
        <v>0</v>
      </c>
      <c r="L147" s="7">
        <f>Dummy_Variables!L147</f>
        <v>3.5</v>
      </c>
      <c r="M147" s="2">
        <f>Dummy_Variables!M147</f>
        <v>0</v>
      </c>
      <c r="N147" s="2">
        <f>Dummy_Variables!N147</f>
        <v>0</v>
      </c>
      <c r="O147" s="2">
        <f>Dummy_Variables!O147</f>
        <v>0</v>
      </c>
      <c r="P147" s="7">
        <f t="shared" si="8"/>
        <v>564911.52828176937</v>
      </c>
      <c r="Q147" s="7">
        <f t="shared" si="9"/>
        <v>-27853.198281769408</v>
      </c>
      <c r="R147" s="7">
        <f t="shared" si="10"/>
        <v>27853.198281769408</v>
      </c>
      <c r="S147" s="2" t="str">
        <f t="shared" si="11"/>
        <v>Negative residual - actual below prediction</v>
      </c>
      <c r="T147" s="2"/>
      <c r="U147" s="2"/>
      <c r="V147" s="2"/>
    </row>
    <row r="148" spans="1:22" x14ac:dyDescent="0.35">
      <c r="A148" s="2" t="str">
        <f>Dummy_Variables!A148</f>
        <v>STR-1037</v>
      </c>
      <c r="B148" s="2" t="str">
        <f>Dummy_Variables!B148</f>
        <v>2025-03</v>
      </c>
      <c r="C148" s="2" t="str">
        <f>Dummy_Variables!C148</f>
        <v>North</v>
      </c>
      <c r="D148" s="2" t="str">
        <f>Dummy_Variables!D148</f>
        <v>Residential</v>
      </c>
      <c r="E148" s="7">
        <f>Dummy_Variables!E148</f>
        <v>601568.87</v>
      </c>
      <c r="F148" s="7">
        <f>Dummy_Variables!F148</f>
        <v>53351.7</v>
      </c>
      <c r="G148" s="7">
        <f>Dummy_Variables!G148</f>
        <v>4259</v>
      </c>
      <c r="H148" s="7">
        <f>Dummy_Variables!H148</f>
        <v>0.156</v>
      </c>
      <c r="I148" s="7">
        <f>Dummy_Variables!I148</f>
        <v>15</v>
      </c>
      <c r="J148" s="7">
        <f>Dummy_Variables!J148</f>
        <v>93.7</v>
      </c>
      <c r="K148" s="2">
        <f>Dummy_Variables!K148</f>
        <v>0</v>
      </c>
      <c r="L148" s="7">
        <f>Dummy_Variables!L148</f>
        <v>3.4</v>
      </c>
      <c r="M148" s="2">
        <f>Dummy_Variables!M148</f>
        <v>0</v>
      </c>
      <c r="N148" s="2">
        <f>Dummy_Variables!N148</f>
        <v>0</v>
      </c>
      <c r="O148" s="2">
        <f>Dummy_Variables!O148</f>
        <v>0</v>
      </c>
      <c r="P148" s="7">
        <f t="shared" si="8"/>
        <v>597267.96273794468</v>
      </c>
      <c r="Q148" s="7">
        <f t="shared" si="9"/>
        <v>4300.9072620553197</v>
      </c>
      <c r="R148" s="7">
        <f t="shared" si="10"/>
        <v>4300.9072620553197</v>
      </c>
      <c r="S148" s="2" t="str">
        <f t="shared" si="11"/>
        <v>Positive residual - actual above prediction</v>
      </c>
      <c r="T148" s="2"/>
      <c r="U148" s="2"/>
      <c r="V148" s="2"/>
    </row>
    <row r="149" spans="1:22" x14ac:dyDescent="0.35">
      <c r="A149" s="2" t="str">
        <f>Dummy_Variables!A149</f>
        <v>STR-1037</v>
      </c>
      <c r="B149" s="2" t="str">
        <f>Dummy_Variables!B149</f>
        <v>2025-04</v>
      </c>
      <c r="C149" s="2" t="str">
        <f>Dummy_Variables!C149</f>
        <v>North</v>
      </c>
      <c r="D149" s="2" t="str">
        <f>Dummy_Variables!D149</f>
        <v>Residential</v>
      </c>
      <c r="E149" s="7">
        <f>Dummy_Variables!E149</f>
        <v>570964.84</v>
      </c>
      <c r="F149" s="7">
        <f>Dummy_Variables!F149</f>
        <v>60322.400000000001</v>
      </c>
      <c r="G149" s="7">
        <f>Dummy_Variables!G149</f>
        <v>3350</v>
      </c>
      <c r="H149" s="7">
        <f>Dummy_Variables!H149</f>
        <v>0.108</v>
      </c>
      <c r="I149" s="7">
        <f>Dummy_Variables!I149</f>
        <v>12</v>
      </c>
      <c r="J149" s="7">
        <f>Dummy_Variables!J149</f>
        <v>89.4</v>
      </c>
      <c r="K149" s="2">
        <f>Dummy_Variables!K149</f>
        <v>0</v>
      </c>
      <c r="L149" s="7">
        <f>Dummy_Variables!L149</f>
        <v>3.4</v>
      </c>
      <c r="M149" s="2">
        <f>Dummy_Variables!M149</f>
        <v>0</v>
      </c>
      <c r="N149" s="2">
        <f>Dummy_Variables!N149</f>
        <v>0</v>
      </c>
      <c r="O149" s="2">
        <f>Dummy_Variables!O149</f>
        <v>0</v>
      </c>
      <c r="P149" s="7">
        <f t="shared" si="8"/>
        <v>561195.34361856256</v>
      </c>
      <c r="Q149" s="7">
        <f t="shared" si="9"/>
        <v>9769.4963814374059</v>
      </c>
      <c r="R149" s="7">
        <f t="shared" si="10"/>
        <v>9769.4963814374059</v>
      </c>
      <c r="S149" s="2" t="str">
        <f t="shared" si="11"/>
        <v>Positive residual - actual above prediction</v>
      </c>
      <c r="T149" s="2"/>
      <c r="U149" s="2"/>
      <c r="V149" s="2"/>
    </row>
    <row r="150" spans="1:22" x14ac:dyDescent="0.35">
      <c r="A150" s="2" t="str">
        <f>Dummy_Variables!A150</f>
        <v>STR-1038</v>
      </c>
      <c r="B150" s="2" t="str">
        <f>Dummy_Variables!B150</f>
        <v>2025-01</v>
      </c>
      <c r="C150" s="2" t="str">
        <f>Dummy_Variables!C150</f>
        <v>South</v>
      </c>
      <c r="D150" s="2" t="str">
        <f>Dummy_Variables!D150</f>
        <v>Mall</v>
      </c>
      <c r="E150" s="7">
        <f>Dummy_Variables!E150</f>
        <v>614024.91</v>
      </c>
      <c r="F150" s="7">
        <f>Dummy_Variables!F150</f>
        <v>51575.68</v>
      </c>
      <c r="G150" s="7">
        <f>Dummy_Variables!G150</f>
        <v>5329</v>
      </c>
      <c r="H150" s="7">
        <f>Dummy_Variables!H150</f>
        <v>4.7E-2</v>
      </c>
      <c r="I150" s="7">
        <f>Dummy_Variables!I150</f>
        <v>17</v>
      </c>
      <c r="J150" s="7">
        <f>Dummy_Variables!J150</f>
        <v>88.1</v>
      </c>
      <c r="K150" s="2">
        <f>Dummy_Variables!K150</f>
        <v>0</v>
      </c>
      <c r="L150" s="7">
        <f>Dummy_Variables!L150</f>
        <v>3.8</v>
      </c>
      <c r="M150" s="2">
        <f>Dummy_Variables!M150</f>
        <v>0</v>
      </c>
      <c r="N150" s="2">
        <f>Dummy_Variables!N150</f>
        <v>0</v>
      </c>
      <c r="O150" s="2">
        <f>Dummy_Variables!O150</f>
        <v>1</v>
      </c>
      <c r="P150" s="7">
        <f t="shared" si="8"/>
        <v>653684.84422616288</v>
      </c>
      <c r="Q150" s="7">
        <f t="shared" si="9"/>
        <v>-39659.934226162848</v>
      </c>
      <c r="R150" s="7">
        <f t="shared" si="10"/>
        <v>39659.934226162848</v>
      </c>
      <c r="S150" s="2" t="str">
        <f t="shared" si="11"/>
        <v>Negative residual - actual below prediction</v>
      </c>
      <c r="T150" s="2"/>
      <c r="U150" s="2"/>
      <c r="V150" s="2"/>
    </row>
    <row r="151" spans="1:22" x14ac:dyDescent="0.35">
      <c r="A151" s="2" t="str">
        <f>Dummy_Variables!A151</f>
        <v>STR-1038</v>
      </c>
      <c r="B151" s="2" t="str">
        <f>Dummy_Variables!B151</f>
        <v>2025-02</v>
      </c>
      <c r="C151" s="2" t="str">
        <f>Dummy_Variables!C151</f>
        <v>South</v>
      </c>
      <c r="D151" s="2" t="str">
        <f>Dummy_Variables!D151</f>
        <v>Mall</v>
      </c>
      <c r="E151" s="7">
        <f>Dummy_Variables!E151</f>
        <v>712868.35</v>
      </c>
      <c r="F151" s="7">
        <f>Dummy_Variables!F151</f>
        <v>43319.94</v>
      </c>
      <c r="G151" s="7">
        <f>Dummy_Variables!G151</f>
        <v>6551</v>
      </c>
      <c r="H151" s="7">
        <f>Dummy_Variables!H151</f>
        <v>4.3999999999999997E-2</v>
      </c>
      <c r="I151" s="7">
        <f>Dummy_Variables!I151</f>
        <v>13</v>
      </c>
      <c r="J151" s="7">
        <f>Dummy_Variables!J151</f>
        <v>99</v>
      </c>
      <c r="K151" s="2">
        <f>Dummy_Variables!K151</f>
        <v>0</v>
      </c>
      <c r="L151" s="7">
        <f>Dummy_Variables!L151</f>
        <v>4.0999999999999996</v>
      </c>
      <c r="M151" s="2">
        <f>Dummy_Variables!M151</f>
        <v>0</v>
      </c>
      <c r="N151" s="2">
        <f>Dummy_Variables!N151</f>
        <v>0</v>
      </c>
      <c r="O151" s="2">
        <f>Dummy_Variables!O151</f>
        <v>1</v>
      </c>
      <c r="P151" s="7">
        <f t="shared" si="8"/>
        <v>704532.23925304483</v>
      </c>
      <c r="Q151" s="7">
        <f t="shared" si="9"/>
        <v>8336.1107469551498</v>
      </c>
      <c r="R151" s="7">
        <f t="shared" si="10"/>
        <v>8336.1107469551498</v>
      </c>
      <c r="S151" s="2" t="str">
        <f t="shared" si="11"/>
        <v>Positive residual - actual above prediction</v>
      </c>
      <c r="T151" s="2"/>
      <c r="U151" s="2"/>
      <c r="V151" s="2"/>
    </row>
    <row r="152" spans="1:22" x14ac:dyDescent="0.35">
      <c r="A152" s="2" t="str">
        <f>Dummy_Variables!A152</f>
        <v>STR-1038</v>
      </c>
      <c r="B152" s="2" t="str">
        <f>Dummy_Variables!B152</f>
        <v>2025-03</v>
      </c>
      <c r="C152" s="2" t="str">
        <f>Dummy_Variables!C152</f>
        <v>South</v>
      </c>
      <c r="D152" s="2" t="str">
        <f>Dummy_Variables!D152</f>
        <v>Mall</v>
      </c>
      <c r="E152" s="7">
        <f>Dummy_Variables!E152</f>
        <v>696744.15</v>
      </c>
      <c r="F152" s="7">
        <f>Dummy_Variables!F152</f>
        <v>47093.55</v>
      </c>
      <c r="G152" s="7">
        <f>Dummy_Variables!G152</f>
        <v>5550</v>
      </c>
      <c r="H152" s="7">
        <f>Dummy_Variables!H152</f>
        <v>0.1</v>
      </c>
      <c r="I152" s="7">
        <f>Dummy_Variables!I152</f>
        <v>12</v>
      </c>
      <c r="J152" s="7">
        <f>Dummy_Variables!J152</f>
        <v>95</v>
      </c>
      <c r="K152" s="2">
        <f>Dummy_Variables!K152</f>
        <v>1</v>
      </c>
      <c r="L152" s="7">
        <f>Dummy_Variables!L152</f>
        <v>3.7</v>
      </c>
      <c r="M152" s="2">
        <f>Dummy_Variables!M152</f>
        <v>0</v>
      </c>
      <c r="N152" s="2">
        <f>Dummy_Variables!N152</f>
        <v>0</v>
      </c>
      <c r="O152" s="2">
        <f>Dummy_Variables!O152</f>
        <v>1</v>
      </c>
      <c r="P152" s="7">
        <f t="shared" si="8"/>
        <v>668633.40636522381</v>
      </c>
      <c r="Q152" s="7">
        <f t="shared" si="9"/>
        <v>28110.743634776212</v>
      </c>
      <c r="R152" s="7">
        <f t="shared" si="10"/>
        <v>28110.743634776212</v>
      </c>
      <c r="S152" s="2" t="str">
        <f t="shared" si="11"/>
        <v>Positive residual - actual above prediction</v>
      </c>
      <c r="T152" s="2"/>
      <c r="U152" s="2"/>
      <c r="V152" s="2"/>
    </row>
    <row r="153" spans="1:22" x14ac:dyDescent="0.35">
      <c r="A153" s="2" t="str">
        <f>Dummy_Variables!A153</f>
        <v>STR-1038</v>
      </c>
      <c r="B153" s="2" t="str">
        <f>Dummy_Variables!B153</f>
        <v>2025-04</v>
      </c>
      <c r="C153" s="2" t="str">
        <f>Dummy_Variables!C153</f>
        <v>South</v>
      </c>
      <c r="D153" s="2" t="str">
        <f>Dummy_Variables!D153</f>
        <v>Mall</v>
      </c>
      <c r="E153" s="7">
        <f>Dummy_Variables!E153</f>
        <v>725847.99</v>
      </c>
      <c r="F153" s="7">
        <f>Dummy_Variables!F153</f>
        <v>71855.09</v>
      </c>
      <c r="G153" s="7">
        <f>Dummy_Variables!G153</f>
        <v>5911</v>
      </c>
      <c r="H153" s="7">
        <f>Dummy_Variables!H153</f>
        <v>0.19700000000000001</v>
      </c>
      <c r="I153" s="7">
        <f>Dummy_Variables!I153</f>
        <v>15</v>
      </c>
      <c r="J153" s="7">
        <f>Dummy_Variables!J153</f>
        <v>94.3</v>
      </c>
      <c r="K153" s="2">
        <f>Dummy_Variables!K153</f>
        <v>0</v>
      </c>
      <c r="L153" s="7">
        <f>Dummy_Variables!L153</f>
        <v>4.0999999999999996</v>
      </c>
      <c r="M153" s="2">
        <f>Dummy_Variables!M153</f>
        <v>0</v>
      </c>
      <c r="N153" s="2">
        <f>Dummy_Variables!N153</f>
        <v>0</v>
      </c>
      <c r="O153" s="2">
        <f>Dummy_Variables!O153</f>
        <v>1</v>
      </c>
      <c r="P153" s="7">
        <f t="shared" si="8"/>
        <v>700828.33078492642</v>
      </c>
      <c r="Q153" s="7">
        <f t="shared" si="9"/>
        <v>25019.659215073567</v>
      </c>
      <c r="R153" s="7">
        <f t="shared" si="10"/>
        <v>25019.659215073567</v>
      </c>
      <c r="S153" s="2" t="str">
        <f t="shared" si="11"/>
        <v>Positive residual - actual above prediction</v>
      </c>
      <c r="T153" s="2"/>
      <c r="U153" s="2"/>
      <c r="V153" s="2"/>
    </row>
    <row r="154" spans="1:22" x14ac:dyDescent="0.35">
      <c r="A154" s="2" t="str">
        <f>Dummy_Variables!A154</f>
        <v>STR-1039</v>
      </c>
      <c r="B154" s="2" t="str">
        <f>Dummy_Variables!B154</f>
        <v>2025-01</v>
      </c>
      <c r="C154" s="2" t="str">
        <f>Dummy_Variables!C154</f>
        <v>East</v>
      </c>
      <c r="D154" s="2" t="str">
        <f>Dummy_Variables!D154</f>
        <v>High Street</v>
      </c>
      <c r="E154" s="7">
        <f>Dummy_Variables!E154</f>
        <v>785028.25</v>
      </c>
      <c r="F154" s="7">
        <f>Dummy_Variables!F154</f>
        <v>75645.23</v>
      </c>
      <c r="G154" s="7">
        <f>Dummy_Variables!G154</f>
        <v>9674</v>
      </c>
      <c r="H154" s="7">
        <f>Dummy_Variables!H154</f>
        <v>0.23400000000000001</v>
      </c>
      <c r="I154" s="7">
        <f>Dummy_Variables!I154</f>
        <v>21</v>
      </c>
      <c r="J154" s="7">
        <f>Dummy_Variables!J154</f>
        <v>87.4</v>
      </c>
      <c r="K154" s="2">
        <f>Dummy_Variables!K154</f>
        <v>0</v>
      </c>
      <c r="L154" s="7">
        <f>Dummy_Variables!L154</f>
        <v>4.5</v>
      </c>
      <c r="M154" s="2">
        <f>Dummy_Variables!M154</f>
        <v>0</v>
      </c>
      <c r="N154" s="2">
        <f>Dummy_Variables!N154</f>
        <v>1</v>
      </c>
      <c r="O154" s="2">
        <f>Dummy_Variables!O154</f>
        <v>0</v>
      </c>
      <c r="P154" s="7">
        <f t="shared" si="8"/>
        <v>802013.13852950558</v>
      </c>
      <c r="Q154" s="7">
        <f t="shared" si="9"/>
        <v>-16984.888529505581</v>
      </c>
      <c r="R154" s="7">
        <f t="shared" si="10"/>
        <v>16984.888529505581</v>
      </c>
      <c r="S154" s="2" t="str">
        <f t="shared" si="11"/>
        <v>Negative residual - actual below prediction</v>
      </c>
      <c r="T154" s="2"/>
      <c r="U154" s="2"/>
      <c r="V154" s="2"/>
    </row>
    <row r="155" spans="1:22" x14ac:dyDescent="0.35">
      <c r="A155" s="2" t="str">
        <f>Dummy_Variables!A155</f>
        <v>STR-1039</v>
      </c>
      <c r="B155" s="2" t="str">
        <f>Dummy_Variables!B155</f>
        <v>2025-02</v>
      </c>
      <c r="C155" s="2" t="str">
        <f>Dummy_Variables!C155</f>
        <v>East</v>
      </c>
      <c r="D155" s="2" t="str">
        <f>Dummy_Variables!D155</f>
        <v>High Street</v>
      </c>
      <c r="E155" s="7">
        <f>Dummy_Variables!E155</f>
        <v>698492.67</v>
      </c>
      <c r="F155" s="7">
        <f>Dummy_Variables!F155</f>
        <v>64374.75</v>
      </c>
      <c r="G155" s="7">
        <f>Dummy_Variables!G155</f>
        <v>6740</v>
      </c>
      <c r="H155" s="7">
        <f>Dummy_Variables!H155</f>
        <v>0.16900000000000001</v>
      </c>
      <c r="I155" s="7">
        <f>Dummy_Variables!I155</f>
        <v>18</v>
      </c>
      <c r="J155" s="7">
        <f>Dummy_Variables!J155</f>
        <v>87</v>
      </c>
      <c r="K155" s="2">
        <f>Dummy_Variables!K155</f>
        <v>0</v>
      </c>
      <c r="L155" s="7">
        <f>Dummy_Variables!L155</f>
        <v>4.2</v>
      </c>
      <c r="M155" s="2">
        <f>Dummy_Variables!M155</f>
        <v>0</v>
      </c>
      <c r="N155" s="2">
        <f>Dummy_Variables!N155</f>
        <v>1</v>
      </c>
      <c r="O155" s="2">
        <f>Dummy_Variables!O155</f>
        <v>0</v>
      </c>
      <c r="P155" s="7">
        <f t="shared" si="8"/>
        <v>696277.8817423532</v>
      </c>
      <c r="Q155" s="7">
        <f t="shared" si="9"/>
        <v>2214.7882576468401</v>
      </c>
      <c r="R155" s="7">
        <f t="shared" si="10"/>
        <v>2214.7882576468401</v>
      </c>
      <c r="S155" s="2" t="str">
        <f t="shared" si="11"/>
        <v>Positive residual - actual above prediction</v>
      </c>
      <c r="T155" s="2"/>
      <c r="U155" s="2"/>
      <c r="V155" s="2"/>
    </row>
    <row r="156" spans="1:22" x14ac:dyDescent="0.35">
      <c r="A156" s="2" t="str">
        <f>Dummy_Variables!A156</f>
        <v>STR-1039</v>
      </c>
      <c r="B156" s="2" t="str">
        <f>Dummy_Variables!B156</f>
        <v>2025-03</v>
      </c>
      <c r="C156" s="2" t="str">
        <f>Dummy_Variables!C156</f>
        <v>East</v>
      </c>
      <c r="D156" s="2" t="str">
        <f>Dummy_Variables!D156</f>
        <v>High Street</v>
      </c>
      <c r="E156" s="7">
        <f>Dummy_Variables!E156</f>
        <v>685830.24</v>
      </c>
      <c r="F156" s="7">
        <f>Dummy_Variables!F156</f>
        <v>61433.84</v>
      </c>
      <c r="G156" s="7">
        <f>Dummy_Variables!G156</f>
        <v>7745</v>
      </c>
      <c r="H156" s="7">
        <f>Dummy_Variables!H156</f>
        <v>0.18</v>
      </c>
      <c r="I156" s="7">
        <f>Dummy_Variables!I156</f>
        <v>16</v>
      </c>
      <c r="J156" s="7">
        <f>Dummy_Variables!J156</f>
        <v>90.5</v>
      </c>
      <c r="K156" s="2">
        <f>Dummy_Variables!K156</f>
        <v>0</v>
      </c>
      <c r="L156" s="7">
        <f>Dummy_Variables!L156</f>
        <v>4.2</v>
      </c>
      <c r="M156" s="2">
        <f>Dummy_Variables!M156</f>
        <v>0</v>
      </c>
      <c r="N156" s="2">
        <f>Dummy_Variables!N156</f>
        <v>1</v>
      </c>
      <c r="O156" s="2">
        <f>Dummy_Variables!O156</f>
        <v>0</v>
      </c>
      <c r="P156" s="7">
        <f t="shared" si="8"/>
        <v>725621.30150232918</v>
      </c>
      <c r="Q156" s="7">
        <f t="shared" si="9"/>
        <v>-39791.06150232919</v>
      </c>
      <c r="R156" s="7">
        <f t="shared" si="10"/>
        <v>39791.06150232919</v>
      </c>
      <c r="S156" s="2" t="str">
        <f t="shared" si="11"/>
        <v>Negative residual - actual below prediction</v>
      </c>
      <c r="T156" s="2"/>
      <c r="U156" s="2"/>
      <c r="V156" s="2"/>
    </row>
    <row r="157" spans="1:22" x14ac:dyDescent="0.35">
      <c r="A157" s="2" t="str">
        <f>Dummy_Variables!A157</f>
        <v>STR-1039</v>
      </c>
      <c r="B157" s="2" t="str">
        <f>Dummy_Variables!B157</f>
        <v>2025-04</v>
      </c>
      <c r="C157" s="2" t="str">
        <f>Dummy_Variables!C157</f>
        <v>East</v>
      </c>
      <c r="D157" s="2" t="str">
        <f>Dummy_Variables!D157</f>
        <v>High Street</v>
      </c>
      <c r="E157" s="7">
        <f>Dummy_Variables!E157</f>
        <v>702318.94</v>
      </c>
      <c r="F157" s="7">
        <f>Dummy_Variables!F157</f>
        <v>42698.14</v>
      </c>
      <c r="G157" s="7">
        <f>Dummy_Variables!G157</f>
        <v>7693</v>
      </c>
      <c r="H157" s="7">
        <f>Dummy_Variables!H157</f>
        <v>0.187</v>
      </c>
      <c r="I157" s="7">
        <f>Dummy_Variables!I157</f>
        <v>19</v>
      </c>
      <c r="J157" s="7">
        <f>Dummy_Variables!J157</f>
        <v>90.1</v>
      </c>
      <c r="K157" s="2">
        <f>Dummy_Variables!K157</f>
        <v>0</v>
      </c>
      <c r="L157" s="7">
        <f>Dummy_Variables!L157</f>
        <v>4.4000000000000004</v>
      </c>
      <c r="M157" s="2">
        <f>Dummy_Variables!M157</f>
        <v>0</v>
      </c>
      <c r="N157" s="2">
        <f>Dummy_Variables!N157</f>
        <v>1</v>
      </c>
      <c r="O157" s="2">
        <f>Dummy_Variables!O157</f>
        <v>0</v>
      </c>
      <c r="P157" s="7">
        <f t="shared" si="8"/>
        <v>711885.70731078333</v>
      </c>
      <c r="Q157" s="7">
        <f t="shared" si="9"/>
        <v>-9566.7673107833834</v>
      </c>
      <c r="R157" s="7">
        <f t="shared" si="10"/>
        <v>9566.7673107833834</v>
      </c>
      <c r="S157" s="2" t="str">
        <f t="shared" si="11"/>
        <v>Negative residual - actual below prediction</v>
      </c>
      <c r="T157" s="2"/>
      <c r="U157" s="2"/>
      <c r="V157" s="2"/>
    </row>
    <row r="158" spans="1:22" x14ac:dyDescent="0.35">
      <c r="A158" s="2" t="str">
        <f>Dummy_Variables!A158</f>
        <v>STR-1040</v>
      </c>
      <c r="B158" s="2" t="str">
        <f>Dummy_Variables!B158</f>
        <v>2025-01</v>
      </c>
      <c r="C158" s="2" t="str">
        <f>Dummy_Variables!C158</f>
        <v>North</v>
      </c>
      <c r="D158" s="2" t="str">
        <f>Dummy_Variables!D158</f>
        <v>Mall</v>
      </c>
      <c r="E158" s="7">
        <f>Dummy_Variables!E158</f>
        <v>700078.32</v>
      </c>
      <c r="F158" s="7">
        <f>Dummy_Variables!F158</f>
        <v>86883.31</v>
      </c>
      <c r="G158" s="7">
        <f>Dummy_Variables!G158</f>
        <v>6424</v>
      </c>
      <c r="H158" s="7">
        <f>Dummy_Variables!H158</f>
        <v>5.7000000000000002E-2</v>
      </c>
      <c r="I158" s="7">
        <f>Dummy_Variables!I158</f>
        <v>19</v>
      </c>
      <c r="J158" s="7">
        <f>Dummy_Variables!J158</f>
        <v>85.2</v>
      </c>
      <c r="K158" s="2">
        <f>Dummy_Variables!K158</f>
        <v>0</v>
      </c>
      <c r="L158" s="7">
        <f>Dummy_Variables!L158</f>
        <v>3.9</v>
      </c>
      <c r="M158" s="2">
        <f>Dummy_Variables!M158</f>
        <v>0</v>
      </c>
      <c r="N158" s="2">
        <f>Dummy_Variables!N158</f>
        <v>0</v>
      </c>
      <c r="O158" s="2">
        <f>Dummy_Variables!O158</f>
        <v>1</v>
      </c>
      <c r="P158" s="7">
        <f t="shared" si="8"/>
        <v>723181.20898640901</v>
      </c>
      <c r="Q158" s="7">
        <f t="shared" si="9"/>
        <v>-23102.88898640906</v>
      </c>
      <c r="R158" s="7">
        <f t="shared" si="10"/>
        <v>23102.88898640906</v>
      </c>
      <c r="S158" s="2" t="str">
        <f t="shared" si="11"/>
        <v>Negative residual - actual below prediction</v>
      </c>
      <c r="T158" s="2"/>
      <c r="U158" s="2"/>
      <c r="V158" s="2"/>
    </row>
    <row r="159" spans="1:22" x14ac:dyDescent="0.35">
      <c r="A159" s="2" t="str">
        <f>Dummy_Variables!A159</f>
        <v>STR-1040</v>
      </c>
      <c r="B159" s="2" t="str">
        <f>Dummy_Variables!B159</f>
        <v>2025-02</v>
      </c>
      <c r="C159" s="2" t="str">
        <f>Dummy_Variables!C159</f>
        <v>North</v>
      </c>
      <c r="D159" s="2" t="str">
        <f>Dummy_Variables!D159</f>
        <v>Mall</v>
      </c>
      <c r="E159" s="7">
        <f>Dummy_Variables!E159</f>
        <v>602002.31999999995</v>
      </c>
      <c r="F159" s="7">
        <f>Dummy_Variables!F159</f>
        <v>41863.08</v>
      </c>
      <c r="G159" s="7">
        <f>Dummy_Variables!G159</f>
        <v>5400</v>
      </c>
      <c r="H159" s="7">
        <f>Dummy_Variables!H159</f>
        <v>0.114</v>
      </c>
      <c r="I159" s="7">
        <f>Dummy_Variables!I159</f>
        <v>11</v>
      </c>
      <c r="J159" s="7">
        <f>Dummy_Variables!J159</f>
        <v>91.6</v>
      </c>
      <c r="K159" s="2">
        <f>Dummy_Variables!K159</f>
        <v>0</v>
      </c>
      <c r="L159" s="7">
        <f>Dummy_Variables!L159</f>
        <v>3</v>
      </c>
      <c r="M159" s="2">
        <f>Dummy_Variables!M159</f>
        <v>0</v>
      </c>
      <c r="N159" s="2">
        <f>Dummy_Variables!N159</f>
        <v>0</v>
      </c>
      <c r="O159" s="2">
        <f>Dummy_Variables!O159</f>
        <v>1</v>
      </c>
      <c r="P159" s="7">
        <f t="shared" si="8"/>
        <v>623300.37570685567</v>
      </c>
      <c r="Q159" s="7">
        <f t="shared" si="9"/>
        <v>-21298.055706855725</v>
      </c>
      <c r="R159" s="7">
        <f t="shared" si="10"/>
        <v>21298.055706855725</v>
      </c>
      <c r="S159" s="2" t="str">
        <f t="shared" si="11"/>
        <v>Negative residual - actual below prediction</v>
      </c>
      <c r="T159" s="2"/>
      <c r="U159" s="2"/>
      <c r="V159" s="2"/>
    </row>
    <row r="160" spans="1:22" x14ac:dyDescent="0.35">
      <c r="A160" s="2" t="str">
        <f>Dummy_Variables!A160</f>
        <v>STR-1040</v>
      </c>
      <c r="B160" s="2" t="str">
        <f>Dummy_Variables!B160</f>
        <v>2025-03</v>
      </c>
      <c r="C160" s="2" t="str">
        <f>Dummy_Variables!C160</f>
        <v>North</v>
      </c>
      <c r="D160" s="2" t="str">
        <f>Dummy_Variables!D160</f>
        <v>Mall</v>
      </c>
      <c r="E160" s="7">
        <f>Dummy_Variables!E160</f>
        <v>724216.07</v>
      </c>
      <c r="F160" s="7">
        <f>Dummy_Variables!F160</f>
        <v>56918.16</v>
      </c>
      <c r="G160" s="7">
        <f>Dummy_Variables!G160</f>
        <v>7015</v>
      </c>
      <c r="H160" s="7">
        <f>Dummy_Variables!H160</f>
        <v>0.158</v>
      </c>
      <c r="I160" s="7">
        <f>Dummy_Variables!I160</f>
        <v>18</v>
      </c>
      <c r="J160" s="7">
        <f>Dummy_Variables!J160</f>
        <v>74.2</v>
      </c>
      <c r="K160" s="2">
        <f>Dummy_Variables!K160</f>
        <v>0</v>
      </c>
      <c r="L160" s="7">
        <f>Dummy_Variables!L160</f>
        <v>3.4</v>
      </c>
      <c r="M160" s="2">
        <f>Dummy_Variables!M160</f>
        <v>0</v>
      </c>
      <c r="N160" s="2">
        <f>Dummy_Variables!N160</f>
        <v>0</v>
      </c>
      <c r="O160" s="2">
        <f>Dummy_Variables!O160</f>
        <v>1</v>
      </c>
      <c r="P160" s="7">
        <f t="shared" si="8"/>
        <v>656220.21472867567</v>
      </c>
      <c r="Q160" s="7">
        <f t="shared" si="9"/>
        <v>67995.855271324283</v>
      </c>
      <c r="R160" s="7">
        <f t="shared" si="10"/>
        <v>67995.855271324283</v>
      </c>
      <c r="S160" s="2" t="str">
        <f t="shared" si="11"/>
        <v>Positive residual - actual above prediction</v>
      </c>
      <c r="T160" s="2"/>
      <c r="U160" s="2"/>
      <c r="V160" s="2"/>
    </row>
    <row r="161" spans="1:22" x14ac:dyDescent="0.35">
      <c r="A161" s="2" t="str">
        <f>Dummy_Variables!A161</f>
        <v>STR-1040</v>
      </c>
      <c r="B161" s="2" t="str">
        <f>Dummy_Variables!B161</f>
        <v>2025-04</v>
      </c>
      <c r="C161" s="2" t="str">
        <f>Dummy_Variables!C161</f>
        <v>North</v>
      </c>
      <c r="D161" s="2" t="str">
        <f>Dummy_Variables!D161</f>
        <v>Mall</v>
      </c>
      <c r="E161" s="7">
        <f>Dummy_Variables!E161</f>
        <v>620973.03</v>
      </c>
      <c r="F161" s="7">
        <f>Dummy_Variables!F161</f>
        <v>23254.57</v>
      </c>
      <c r="G161" s="7">
        <f>Dummy_Variables!G161</f>
        <v>3847</v>
      </c>
      <c r="H161" s="7">
        <f>Dummy_Variables!H161</f>
        <v>0.159</v>
      </c>
      <c r="I161" s="7">
        <f>Dummy_Variables!I161</f>
        <v>12</v>
      </c>
      <c r="J161" s="7">
        <f>Dummy_Variables!J161</f>
        <v>93</v>
      </c>
      <c r="K161" s="2">
        <f>Dummy_Variables!K161</f>
        <v>0</v>
      </c>
      <c r="L161" s="7">
        <f>Dummy_Variables!L161</f>
        <v>3.3</v>
      </c>
      <c r="M161" s="2">
        <f>Dummy_Variables!M161</f>
        <v>0</v>
      </c>
      <c r="N161" s="2">
        <f>Dummy_Variables!N161</f>
        <v>0</v>
      </c>
      <c r="O161" s="2">
        <f>Dummy_Variables!O161</f>
        <v>1</v>
      </c>
      <c r="P161" s="7">
        <f t="shared" si="8"/>
        <v>565660.91385036451</v>
      </c>
      <c r="Q161" s="7">
        <f t="shared" si="9"/>
        <v>55312.11614963552</v>
      </c>
      <c r="R161" s="7">
        <f t="shared" si="10"/>
        <v>55312.11614963552</v>
      </c>
      <c r="S161" s="2" t="str">
        <f t="shared" si="11"/>
        <v>Positive residual - actual above prediction</v>
      </c>
      <c r="T161" s="2"/>
      <c r="U161" s="2"/>
      <c r="V161" s="2"/>
    </row>
    <row r="162" spans="1:22" x14ac:dyDescent="0.35">
      <c r="A162" s="2" t="str">
        <f>Dummy_Variables!A162</f>
        <v>STR-1041</v>
      </c>
      <c r="B162" s="2" t="str">
        <f>Dummy_Variables!B162</f>
        <v>2025-01</v>
      </c>
      <c r="C162" s="2" t="str">
        <f>Dummy_Variables!C162</f>
        <v>South</v>
      </c>
      <c r="D162" s="2" t="str">
        <f>Dummy_Variables!D162</f>
        <v>High Street</v>
      </c>
      <c r="E162" s="7">
        <f>Dummy_Variables!E162</f>
        <v>650480.06000000006</v>
      </c>
      <c r="F162" s="7">
        <f>Dummy_Variables!F162</f>
        <v>41443.410000000003</v>
      </c>
      <c r="G162" s="7">
        <f>Dummy_Variables!G162</f>
        <v>7455</v>
      </c>
      <c r="H162" s="7">
        <f>Dummy_Variables!H162</f>
        <v>0.17499999999999999</v>
      </c>
      <c r="I162" s="7">
        <f>Dummy_Variables!I162</f>
        <v>16</v>
      </c>
      <c r="J162" s="7">
        <f>Dummy_Variables!J162</f>
        <v>90.1</v>
      </c>
      <c r="K162" s="2">
        <f>Dummy_Variables!K162</f>
        <v>0</v>
      </c>
      <c r="L162" s="7">
        <f>Dummy_Variables!L162</f>
        <v>4</v>
      </c>
      <c r="M162" s="2">
        <f>Dummy_Variables!M162</f>
        <v>0</v>
      </c>
      <c r="N162" s="2">
        <f>Dummy_Variables!N162</f>
        <v>1</v>
      </c>
      <c r="O162" s="2">
        <f>Dummy_Variables!O162</f>
        <v>0</v>
      </c>
      <c r="P162" s="7">
        <f t="shared" si="8"/>
        <v>690781.68694480974</v>
      </c>
      <c r="Q162" s="7">
        <f t="shared" si="9"/>
        <v>-40301.626944809686</v>
      </c>
      <c r="R162" s="7">
        <f t="shared" si="10"/>
        <v>40301.626944809686</v>
      </c>
      <c r="S162" s="2" t="str">
        <f t="shared" si="11"/>
        <v>Negative residual - actual below prediction</v>
      </c>
      <c r="T162" s="2"/>
      <c r="U162" s="2"/>
      <c r="V162" s="2"/>
    </row>
    <row r="163" spans="1:22" x14ac:dyDescent="0.35">
      <c r="A163" s="2" t="str">
        <f>Dummy_Variables!A163</f>
        <v>STR-1041</v>
      </c>
      <c r="B163" s="2" t="str">
        <f>Dummy_Variables!B163</f>
        <v>2025-02</v>
      </c>
      <c r="C163" s="2" t="str">
        <f>Dummy_Variables!C163</f>
        <v>South</v>
      </c>
      <c r="D163" s="2" t="str">
        <f>Dummy_Variables!D163</f>
        <v>High Street</v>
      </c>
      <c r="E163" s="7">
        <f>Dummy_Variables!E163</f>
        <v>778298.88</v>
      </c>
      <c r="F163" s="7">
        <f>Dummy_Variables!F163</f>
        <v>48438.85</v>
      </c>
      <c r="G163" s="7">
        <f>Dummy_Variables!G163</f>
        <v>6992</v>
      </c>
      <c r="H163" s="7">
        <f>Dummy_Variables!H163</f>
        <v>3.4000000000000002E-2</v>
      </c>
      <c r="I163" s="7">
        <f>Dummy_Variables!I163</f>
        <v>20</v>
      </c>
      <c r="J163" s="7">
        <f>Dummy_Variables!J163</f>
        <v>91</v>
      </c>
      <c r="K163" s="2">
        <f>Dummy_Variables!K163</f>
        <v>0</v>
      </c>
      <c r="L163" s="7">
        <f>Dummy_Variables!L163</f>
        <v>4.2</v>
      </c>
      <c r="M163" s="2">
        <f>Dummy_Variables!M163</f>
        <v>0</v>
      </c>
      <c r="N163" s="2">
        <f>Dummy_Variables!N163</f>
        <v>1</v>
      </c>
      <c r="O163" s="2">
        <f>Dummy_Variables!O163</f>
        <v>0</v>
      </c>
      <c r="P163" s="7">
        <f t="shared" si="8"/>
        <v>711538.66253910435</v>
      </c>
      <c r="Q163" s="7">
        <f t="shared" si="9"/>
        <v>66760.217460895656</v>
      </c>
      <c r="R163" s="7">
        <f t="shared" si="10"/>
        <v>66760.217460895656</v>
      </c>
      <c r="S163" s="2" t="str">
        <f t="shared" si="11"/>
        <v>Positive residual - actual above prediction</v>
      </c>
      <c r="T163" s="2"/>
      <c r="U163" s="2"/>
      <c r="V163" s="2"/>
    </row>
    <row r="164" spans="1:22" x14ac:dyDescent="0.35">
      <c r="A164" s="2" t="str">
        <f>Dummy_Variables!A164</f>
        <v>STR-1041</v>
      </c>
      <c r="B164" s="2" t="str">
        <f>Dummy_Variables!B164</f>
        <v>2025-03</v>
      </c>
      <c r="C164" s="2" t="str">
        <f>Dummy_Variables!C164</f>
        <v>South</v>
      </c>
      <c r="D164" s="2" t="str">
        <f>Dummy_Variables!D164</f>
        <v>High Street</v>
      </c>
      <c r="E164" s="7">
        <f>Dummy_Variables!E164</f>
        <v>677096.71</v>
      </c>
      <c r="F164" s="7">
        <f>Dummy_Variables!F164</f>
        <v>57143.3</v>
      </c>
      <c r="G164" s="7">
        <f>Dummy_Variables!G164</f>
        <v>8038</v>
      </c>
      <c r="H164" s="7">
        <f>Dummy_Variables!H164</f>
        <v>0.193</v>
      </c>
      <c r="I164" s="7">
        <f>Dummy_Variables!I164</f>
        <v>17</v>
      </c>
      <c r="J164" s="7">
        <f>Dummy_Variables!J164</f>
        <v>72.599999999999994</v>
      </c>
      <c r="K164" s="2">
        <f>Dummy_Variables!K164</f>
        <v>0</v>
      </c>
      <c r="L164" s="7">
        <f>Dummy_Variables!L164</f>
        <v>4.2</v>
      </c>
      <c r="M164" s="2">
        <f>Dummy_Variables!M164</f>
        <v>0</v>
      </c>
      <c r="N164" s="2">
        <f>Dummy_Variables!N164</f>
        <v>1</v>
      </c>
      <c r="O164" s="2">
        <f>Dummy_Variables!O164</f>
        <v>0</v>
      </c>
      <c r="P164" s="7">
        <f t="shared" si="8"/>
        <v>676974.37156979134</v>
      </c>
      <c r="Q164" s="7">
        <f t="shared" si="9"/>
        <v>122.33843020861968</v>
      </c>
      <c r="R164" s="7">
        <f t="shared" si="10"/>
        <v>122.33843020861968</v>
      </c>
      <c r="S164" s="2" t="str">
        <f t="shared" si="11"/>
        <v>Positive residual - actual above prediction</v>
      </c>
      <c r="T164" s="2"/>
      <c r="U164" s="2"/>
      <c r="V164" s="2"/>
    </row>
    <row r="165" spans="1:22" x14ac:dyDescent="0.35">
      <c r="A165" s="2" t="str">
        <f>Dummy_Variables!A165</f>
        <v>STR-1041</v>
      </c>
      <c r="B165" s="2" t="str">
        <f>Dummy_Variables!B165</f>
        <v>2025-04</v>
      </c>
      <c r="C165" s="2" t="str">
        <f>Dummy_Variables!C165</f>
        <v>South</v>
      </c>
      <c r="D165" s="2" t="str">
        <f>Dummy_Variables!D165</f>
        <v>High Street</v>
      </c>
      <c r="E165" s="7">
        <f>Dummy_Variables!E165</f>
        <v>692008.64</v>
      </c>
      <c r="F165" s="7">
        <f>Dummy_Variables!F165</f>
        <v>66870.62</v>
      </c>
      <c r="G165" s="7">
        <f>Dummy_Variables!G165</f>
        <v>6055</v>
      </c>
      <c r="H165" s="7">
        <f>Dummy_Variables!H165</f>
        <v>7.4999999999999997E-2</v>
      </c>
      <c r="I165" s="7">
        <f>Dummy_Variables!I165</f>
        <v>19</v>
      </c>
      <c r="J165" s="7">
        <f>Dummy_Variables!J165</f>
        <v>93.8</v>
      </c>
      <c r="K165" s="2">
        <f>Dummy_Variables!K165</f>
        <v>0</v>
      </c>
      <c r="L165" s="7">
        <f>Dummy_Variables!L165</f>
        <v>4.3</v>
      </c>
      <c r="M165" s="2">
        <f>Dummy_Variables!M165</f>
        <v>0</v>
      </c>
      <c r="N165" s="2">
        <f>Dummy_Variables!N165</f>
        <v>1</v>
      </c>
      <c r="O165" s="2">
        <f>Dummy_Variables!O165</f>
        <v>0</v>
      </c>
      <c r="P165" s="7">
        <f t="shared" si="8"/>
        <v>710473.94232749881</v>
      </c>
      <c r="Q165" s="7">
        <f t="shared" si="9"/>
        <v>-18465.302327498794</v>
      </c>
      <c r="R165" s="7">
        <f t="shared" si="10"/>
        <v>18465.302327498794</v>
      </c>
      <c r="S165" s="2" t="str">
        <f t="shared" si="11"/>
        <v>Negative residual - actual below prediction</v>
      </c>
      <c r="T165" s="2"/>
      <c r="U165" s="2"/>
      <c r="V165" s="2"/>
    </row>
    <row r="166" spans="1:22" x14ac:dyDescent="0.35">
      <c r="A166" s="2" t="str">
        <f>Dummy_Variables!A166</f>
        <v>STR-1042</v>
      </c>
      <c r="B166" s="2" t="str">
        <f>Dummy_Variables!B166</f>
        <v>2025-01</v>
      </c>
      <c r="C166" s="2" t="str">
        <f>Dummy_Variables!C166</f>
        <v>North</v>
      </c>
      <c r="D166" s="2" t="str">
        <f>Dummy_Variables!D166</f>
        <v>Mall</v>
      </c>
      <c r="E166" s="7">
        <f>Dummy_Variables!E166</f>
        <v>825797.91</v>
      </c>
      <c r="F166" s="7">
        <f>Dummy_Variables!F166</f>
        <v>72150.53</v>
      </c>
      <c r="G166" s="7">
        <f>Dummy_Variables!G166</f>
        <v>9323</v>
      </c>
      <c r="H166" s="7">
        <f>Dummy_Variables!H166</f>
        <v>0.157</v>
      </c>
      <c r="I166" s="7">
        <f>Dummy_Variables!I166</f>
        <v>22</v>
      </c>
      <c r="J166" s="7">
        <f>Dummy_Variables!J166</f>
        <v>82.9</v>
      </c>
      <c r="K166" s="2">
        <f>Dummy_Variables!K166</f>
        <v>1</v>
      </c>
      <c r="L166" s="7">
        <f>Dummy_Variables!L166</f>
        <v>4.3</v>
      </c>
      <c r="M166" s="2">
        <f>Dummy_Variables!M166</f>
        <v>0</v>
      </c>
      <c r="N166" s="2">
        <f>Dummy_Variables!N166</f>
        <v>0</v>
      </c>
      <c r="O166" s="2">
        <f>Dummy_Variables!O166</f>
        <v>1</v>
      </c>
      <c r="P166" s="7">
        <f t="shared" si="8"/>
        <v>800646.59091454791</v>
      </c>
      <c r="Q166" s="7">
        <f t="shared" si="9"/>
        <v>25151.319085452124</v>
      </c>
      <c r="R166" s="7">
        <f t="shared" si="10"/>
        <v>25151.319085452124</v>
      </c>
      <c r="S166" s="2" t="str">
        <f t="shared" si="11"/>
        <v>Positive residual - actual above prediction</v>
      </c>
      <c r="T166" s="2"/>
      <c r="U166" s="2"/>
      <c r="V166" s="2"/>
    </row>
    <row r="167" spans="1:22" x14ac:dyDescent="0.35">
      <c r="A167" s="2" t="str">
        <f>Dummy_Variables!A167</f>
        <v>STR-1042</v>
      </c>
      <c r="B167" s="2" t="str">
        <f>Dummy_Variables!B167</f>
        <v>2025-02</v>
      </c>
      <c r="C167" s="2" t="str">
        <f>Dummy_Variables!C167</f>
        <v>North</v>
      </c>
      <c r="D167" s="2" t="str">
        <f>Dummy_Variables!D167</f>
        <v>Mall</v>
      </c>
      <c r="E167" s="7">
        <f>Dummy_Variables!E167</f>
        <v>706285.52</v>
      </c>
      <c r="F167" s="7">
        <f>Dummy_Variables!F167</f>
        <v>35303.300000000003</v>
      </c>
      <c r="G167" s="7">
        <f>Dummy_Variables!G167</f>
        <v>8789</v>
      </c>
      <c r="H167" s="7">
        <f>Dummy_Variables!H167</f>
        <v>0.123</v>
      </c>
      <c r="I167" s="7">
        <f>Dummy_Variables!I167</f>
        <v>22</v>
      </c>
      <c r="J167" s="7">
        <f>Dummy_Variables!J167</f>
        <v>86.1</v>
      </c>
      <c r="K167" s="2">
        <f>Dummy_Variables!K167</f>
        <v>0</v>
      </c>
      <c r="L167" s="7">
        <f>Dummy_Variables!L167</f>
        <v>4.2</v>
      </c>
      <c r="M167" s="2">
        <f>Dummy_Variables!M167</f>
        <v>0</v>
      </c>
      <c r="N167" s="2">
        <f>Dummy_Variables!N167</f>
        <v>0</v>
      </c>
      <c r="O167" s="2">
        <f>Dummy_Variables!O167</f>
        <v>1</v>
      </c>
      <c r="P167" s="7">
        <f t="shared" si="8"/>
        <v>741504.36580973282</v>
      </c>
      <c r="Q167" s="7">
        <f t="shared" si="9"/>
        <v>-35218.845809732797</v>
      </c>
      <c r="R167" s="7">
        <f t="shared" si="10"/>
        <v>35218.845809732797</v>
      </c>
      <c r="S167" s="2" t="str">
        <f t="shared" si="11"/>
        <v>Negative residual - actual below prediction</v>
      </c>
      <c r="T167" s="2"/>
      <c r="U167" s="2"/>
      <c r="V167" s="2"/>
    </row>
    <row r="168" spans="1:22" x14ac:dyDescent="0.35">
      <c r="A168" s="2" t="str">
        <f>Dummy_Variables!A168</f>
        <v>STR-1042</v>
      </c>
      <c r="B168" s="2" t="str">
        <f>Dummy_Variables!B168</f>
        <v>2025-03</v>
      </c>
      <c r="C168" s="2" t="str">
        <f>Dummy_Variables!C168</f>
        <v>North</v>
      </c>
      <c r="D168" s="2" t="str">
        <f>Dummy_Variables!D168</f>
        <v>Mall</v>
      </c>
      <c r="E168" s="7">
        <f>Dummy_Variables!E168</f>
        <v>665534.69999999995</v>
      </c>
      <c r="F168" s="7">
        <f>Dummy_Variables!F168</f>
        <v>30301.86</v>
      </c>
      <c r="G168" s="7">
        <f>Dummy_Variables!G168</f>
        <v>6939</v>
      </c>
      <c r="H168" s="7">
        <f>Dummy_Variables!H168</f>
        <v>0.09</v>
      </c>
      <c r="I168" s="7">
        <f>Dummy_Variables!I168</f>
        <v>16</v>
      </c>
      <c r="J168" s="7">
        <f>Dummy_Variables!J168</f>
        <v>90.3</v>
      </c>
      <c r="K168" s="2">
        <f>Dummy_Variables!K168</f>
        <v>0</v>
      </c>
      <c r="L168" s="7">
        <f>Dummy_Variables!L168</f>
        <v>4</v>
      </c>
      <c r="M168" s="2">
        <f>Dummy_Variables!M168</f>
        <v>0</v>
      </c>
      <c r="N168" s="2">
        <f>Dummy_Variables!N168</f>
        <v>0</v>
      </c>
      <c r="O168" s="2">
        <f>Dummy_Variables!O168</f>
        <v>1</v>
      </c>
      <c r="P168" s="7">
        <f t="shared" si="8"/>
        <v>678430.48036868812</v>
      </c>
      <c r="Q168" s="7">
        <f t="shared" si="9"/>
        <v>-12895.780368688167</v>
      </c>
      <c r="R168" s="7">
        <f t="shared" si="10"/>
        <v>12895.780368688167</v>
      </c>
      <c r="S168" s="2" t="str">
        <f t="shared" si="11"/>
        <v>Negative residual - actual below prediction</v>
      </c>
      <c r="T168" s="2"/>
      <c r="U168" s="2"/>
      <c r="V168" s="2"/>
    </row>
    <row r="169" spans="1:22" x14ac:dyDescent="0.35">
      <c r="A169" s="2" t="str">
        <f>Dummy_Variables!A169</f>
        <v>STR-1042</v>
      </c>
      <c r="B169" s="2" t="str">
        <f>Dummy_Variables!B169</f>
        <v>2025-04</v>
      </c>
      <c r="C169" s="2" t="str">
        <f>Dummy_Variables!C169</f>
        <v>North</v>
      </c>
      <c r="D169" s="2" t="str">
        <f>Dummy_Variables!D169</f>
        <v>Mall</v>
      </c>
      <c r="E169" s="7">
        <f>Dummy_Variables!E169</f>
        <v>820729.29</v>
      </c>
      <c r="F169" s="7">
        <f>Dummy_Variables!F169</f>
        <v>78432.14</v>
      </c>
      <c r="G169" s="7">
        <f>Dummy_Variables!G169</f>
        <v>9440</v>
      </c>
      <c r="H169" s="7">
        <f>Dummy_Variables!H169</f>
        <v>0.126</v>
      </c>
      <c r="I169" s="7">
        <f>Dummy_Variables!I169</f>
        <v>23</v>
      </c>
      <c r="J169" s="7">
        <f>Dummy_Variables!J169</f>
        <v>89.2</v>
      </c>
      <c r="K169" s="2">
        <f>Dummy_Variables!K169</f>
        <v>0</v>
      </c>
      <c r="L169" s="7">
        <f>Dummy_Variables!L169</f>
        <v>4.0999999999999996</v>
      </c>
      <c r="M169" s="2">
        <f>Dummy_Variables!M169</f>
        <v>0</v>
      </c>
      <c r="N169" s="2">
        <f>Dummy_Variables!N169</f>
        <v>0</v>
      </c>
      <c r="O169" s="2">
        <f>Dummy_Variables!O169</f>
        <v>1</v>
      </c>
      <c r="P169" s="7">
        <f t="shared" si="8"/>
        <v>820558.17208082508</v>
      </c>
      <c r="Q169" s="7">
        <f t="shared" si="9"/>
        <v>171.1179191749543</v>
      </c>
      <c r="R169" s="7">
        <f t="shared" si="10"/>
        <v>171.1179191749543</v>
      </c>
      <c r="S169" s="2" t="str">
        <f t="shared" si="11"/>
        <v>Positive residual - actual above prediction</v>
      </c>
      <c r="T169" s="2"/>
      <c r="U169" s="2"/>
      <c r="V169" s="2"/>
    </row>
    <row r="170" spans="1:22" x14ac:dyDescent="0.35">
      <c r="A170" s="2" t="str">
        <f>Dummy_Variables!A170</f>
        <v>STR-1043</v>
      </c>
      <c r="B170" s="2" t="str">
        <f>Dummy_Variables!B170</f>
        <v>2025-01</v>
      </c>
      <c r="C170" s="2" t="str">
        <f>Dummy_Variables!C170</f>
        <v>East</v>
      </c>
      <c r="D170" s="2" t="str">
        <f>Dummy_Variables!D170</f>
        <v>Residential</v>
      </c>
      <c r="E170" s="7">
        <f>Dummy_Variables!E170</f>
        <v>739831.73</v>
      </c>
      <c r="F170" s="7">
        <f>Dummy_Variables!F170</f>
        <v>62059.18</v>
      </c>
      <c r="G170" s="7">
        <f>Dummy_Variables!G170</f>
        <v>9374</v>
      </c>
      <c r="H170" s="7">
        <f>Dummy_Variables!H170</f>
        <v>0.13600000000000001</v>
      </c>
      <c r="I170" s="7">
        <f>Dummy_Variables!I170</f>
        <v>25</v>
      </c>
      <c r="J170" s="7">
        <f>Dummy_Variables!J170</f>
        <v>87.1</v>
      </c>
      <c r="K170" s="2">
        <f>Dummy_Variables!K170</f>
        <v>0</v>
      </c>
      <c r="L170" s="7">
        <f>Dummy_Variables!L170</f>
        <v>4.9000000000000004</v>
      </c>
      <c r="M170" s="2">
        <f>Dummy_Variables!M170</f>
        <v>0</v>
      </c>
      <c r="N170" s="2">
        <f>Dummy_Variables!N170</f>
        <v>0</v>
      </c>
      <c r="O170" s="2">
        <f>Dummy_Variables!O170</f>
        <v>0</v>
      </c>
      <c r="P170" s="7">
        <f t="shared" si="8"/>
        <v>781824.50302209973</v>
      </c>
      <c r="Q170" s="7">
        <f t="shared" si="9"/>
        <v>-41992.773022099747</v>
      </c>
      <c r="R170" s="7">
        <f t="shared" si="10"/>
        <v>41992.773022099747</v>
      </c>
      <c r="S170" s="2" t="str">
        <f t="shared" si="11"/>
        <v>Negative residual - actual below prediction</v>
      </c>
      <c r="T170" s="2"/>
      <c r="U170" s="2"/>
      <c r="V170" s="2"/>
    </row>
    <row r="171" spans="1:22" x14ac:dyDescent="0.35">
      <c r="A171" s="2" t="str">
        <f>Dummy_Variables!A171</f>
        <v>STR-1043</v>
      </c>
      <c r="B171" s="2" t="str">
        <f>Dummy_Variables!B171</f>
        <v>2025-02</v>
      </c>
      <c r="C171" s="2" t="str">
        <f>Dummy_Variables!C171</f>
        <v>East</v>
      </c>
      <c r="D171" s="2" t="str">
        <f>Dummy_Variables!D171</f>
        <v>Residential</v>
      </c>
      <c r="E171" s="7">
        <f>Dummy_Variables!E171</f>
        <v>593637.14</v>
      </c>
      <c r="F171" s="7">
        <f>Dummy_Variables!F171</f>
        <v>32834.480000000003</v>
      </c>
      <c r="G171" s="7">
        <f>Dummy_Variables!G171</f>
        <v>7576</v>
      </c>
      <c r="H171" s="7">
        <f>Dummy_Variables!H171</f>
        <v>9.9000000000000005E-2</v>
      </c>
      <c r="I171" s="7">
        <f>Dummy_Variables!I171</f>
        <v>15</v>
      </c>
      <c r="J171" s="7">
        <f>Dummy_Variables!J171</f>
        <v>84.1</v>
      </c>
      <c r="K171" s="2">
        <f>Dummy_Variables!K171</f>
        <v>0</v>
      </c>
      <c r="L171" s="7">
        <f>Dummy_Variables!L171</f>
        <v>5</v>
      </c>
      <c r="M171" s="2">
        <f>Dummy_Variables!M171</f>
        <v>0</v>
      </c>
      <c r="N171" s="2">
        <f>Dummy_Variables!N171</f>
        <v>0</v>
      </c>
      <c r="O171" s="2">
        <f>Dummy_Variables!O171</f>
        <v>0</v>
      </c>
      <c r="P171" s="7">
        <f t="shared" si="8"/>
        <v>663364.01263492939</v>
      </c>
      <c r="Q171" s="7">
        <f t="shared" si="9"/>
        <v>-69726.872634929372</v>
      </c>
      <c r="R171" s="7">
        <f t="shared" si="10"/>
        <v>69726.872634929372</v>
      </c>
      <c r="S171" s="2" t="str">
        <f t="shared" si="11"/>
        <v>Negative residual - actual below prediction</v>
      </c>
      <c r="T171" s="2"/>
      <c r="U171" s="2"/>
      <c r="V171" s="2"/>
    </row>
    <row r="172" spans="1:22" x14ac:dyDescent="0.35">
      <c r="A172" s="2" t="str">
        <f>Dummy_Variables!A172</f>
        <v>STR-1043</v>
      </c>
      <c r="B172" s="2" t="str">
        <f>Dummy_Variables!B172</f>
        <v>2025-03</v>
      </c>
      <c r="C172" s="2" t="str">
        <f>Dummy_Variables!C172</f>
        <v>East</v>
      </c>
      <c r="D172" s="2" t="str">
        <f>Dummy_Variables!D172</f>
        <v>Residential</v>
      </c>
      <c r="E172" s="7">
        <f>Dummy_Variables!E172</f>
        <v>769702.76</v>
      </c>
      <c r="F172" s="7">
        <f>Dummy_Variables!F172</f>
        <v>50825.08</v>
      </c>
      <c r="G172" s="7">
        <f>Dummy_Variables!G172</f>
        <v>8949</v>
      </c>
      <c r="H172" s="7">
        <f>Dummy_Variables!H172</f>
        <v>0.157</v>
      </c>
      <c r="I172" s="7">
        <f>Dummy_Variables!I172</f>
        <v>21</v>
      </c>
      <c r="J172" s="7">
        <f>Dummy_Variables!J172</f>
        <v>84.7</v>
      </c>
      <c r="K172" s="2">
        <f>Dummy_Variables!K172</f>
        <v>0</v>
      </c>
      <c r="L172" s="7">
        <f>Dummy_Variables!L172</f>
        <v>4.9000000000000004</v>
      </c>
      <c r="M172" s="2">
        <f>Dummy_Variables!M172</f>
        <v>0</v>
      </c>
      <c r="N172" s="2">
        <f>Dummy_Variables!N172</f>
        <v>0</v>
      </c>
      <c r="O172" s="2">
        <f>Dummy_Variables!O172</f>
        <v>0</v>
      </c>
      <c r="P172" s="7">
        <f t="shared" si="8"/>
        <v>736849.07884755824</v>
      </c>
      <c r="Q172" s="7">
        <f t="shared" si="9"/>
        <v>32853.681152441772</v>
      </c>
      <c r="R172" s="7">
        <f t="shared" si="10"/>
        <v>32853.681152441772</v>
      </c>
      <c r="S172" s="2" t="str">
        <f t="shared" si="11"/>
        <v>Positive residual - actual above prediction</v>
      </c>
      <c r="T172" s="2"/>
      <c r="U172" s="2"/>
      <c r="V172" s="2"/>
    </row>
    <row r="173" spans="1:22" x14ac:dyDescent="0.35">
      <c r="A173" s="2" t="str">
        <f>Dummy_Variables!A173</f>
        <v>STR-1043</v>
      </c>
      <c r="B173" s="2" t="str">
        <f>Dummy_Variables!B173</f>
        <v>2025-04</v>
      </c>
      <c r="C173" s="2" t="str">
        <f>Dummy_Variables!C173</f>
        <v>East</v>
      </c>
      <c r="D173" s="2" t="str">
        <f>Dummy_Variables!D173</f>
        <v>Residential</v>
      </c>
      <c r="E173" s="7">
        <f>Dummy_Variables!E173</f>
        <v>679731.57</v>
      </c>
      <c r="F173" s="7">
        <f>Dummy_Variables!F173</f>
        <v>36606.51</v>
      </c>
      <c r="G173" s="7">
        <f>Dummy_Variables!G173</f>
        <v>7671</v>
      </c>
      <c r="H173" s="7">
        <f>Dummy_Variables!H173</f>
        <v>0.11799999999999999</v>
      </c>
      <c r="I173" s="7">
        <f>Dummy_Variables!I173</f>
        <v>18</v>
      </c>
      <c r="J173" s="7">
        <f>Dummy_Variables!J173</f>
        <v>89.8</v>
      </c>
      <c r="K173" s="2">
        <f>Dummy_Variables!K173</f>
        <v>0</v>
      </c>
      <c r="L173" s="7">
        <f>Dummy_Variables!L173</f>
        <v>4.4000000000000004</v>
      </c>
      <c r="M173" s="2">
        <f>Dummy_Variables!M173</f>
        <v>0</v>
      </c>
      <c r="N173" s="2">
        <f>Dummy_Variables!N173</f>
        <v>0</v>
      </c>
      <c r="O173" s="2">
        <f>Dummy_Variables!O173</f>
        <v>0</v>
      </c>
      <c r="P173" s="7">
        <f t="shared" si="8"/>
        <v>687046.3859594611</v>
      </c>
      <c r="Q173" s="7">
        <f t="shared" si="9"/>
        <v>-7314.8159594611498</v>
      </c>
      <c r="R173" s="7">
        <f t="shared" si="10"/>
        <v>7314.8159594611498</v>
      </c>
      <c r="S173" s="2" t="str">
        <f t="shared" si="11"/>
        <v>Negative residual - actual below prediction</v>
      </c>
      <c r="T173" s="2"/>
      <c r="U173" s="2"/>
      <c r="V173" s="2"/>
    </row>
    <row r="174" spans="1:22" x14ac:dyDescent="0.35">
      <c r="A174" s="2" t="str">
        <f>Dummy_Variables!A174</f>
        <v>STR-1044</v>
      </c>
      <c r="B174" s="2" t="str">
        <f>Dummy_Variables!B174</f>
        <v>2025-01</v>
      </c>
      <c r="C174" s="2" t="str">
        <f>Dummy_Variables!C174</f>
        <v>East</v>
      </c>
      <c r="D174" s="2" t="str">
        <f>Dummy_Variables!D174</f>
        <v>Residential</v>
      </c>
      <c r="E174" s="7">
        <f>Dummy_Variables!E174</f>
        <v>780344.18</v>
      </c>
      <c r="F174" s="7">
        <f>Dummy_Variables!F174</f>
        <v>65237.79</v>
      </c>
      <c r="G174" s="7">
        <f>Dummy_Variables!G174</f>
        <v>8741</v>
      </c>
      <c r="H174" s="7">
        <f>Dummy_Variables!H174</f>
        <v>0.157</v>
      </c>
      <c r="I174" s="7">
        <f>Dummy_Variables!I174</f>
        <v>20</v>
      </c>
      <c r="J174" s="7">
        <f>Dummy_Variables!J174</f>
        <v>94.4</v>
      </c>
      <c r="K174" s="2">
        <f>Dummy_Variables!K174</f>
        <v>0</v>
      </c>
      <c r="L174" s="7">
        <f>Dummy_Variables!L174</f>
        <v>3.3</v>
      </c>
      <c r="M174" s="2">
        <f>Dummy_Variables!M174</f>
        <v>0</v>
      </c>
      <c r="N174" s="2">
        <f>Dummy_Variables!N174</f>
        <v>0</v>
      </c>
      <c r="O174" s="2">
        <f>Dummy_Variables!O174</f>
        <v>0</v>
      </c>
      <c r="P174" s="7">
        <f t="shared" si="8"/>
        <v>753232.37216024543</v>
      </c>
      <c r="Q174" s="7">
        <f t="shared" si="9"/>
        <v>27111.80783975462</v>
      </c>
      <c r="R174" s="7">
        <f t="shared" si="10"/>
        <v>27111.80783975462</v>
      </c>
      <c r="S174" s="2" t="str">
        <f t="shared" si="11"/>
        <v>Positive residual - actual above prediction</v>
      </c>
      <c r="T174" s="2"/>
      <c r="U174" s="2"/>
      <c r="V174" s="2"/>
    </row>
    <row r="175" spans="1:22" x14ac:dyDescent="0.35">
      <c r="A175" s="2" t="str">
        <f>Dummy_Variables!A175</f>
        <v>STR-1044</v>
      </c>
      <c r="B175" s="2" t="str">
        <f>Dummy_Variables!B175</f>
        <v>2025-02</v>
      </c>
      <c r="C175" s="2" t="str">
        <f>Dummy_Variables!C175</f>
        <v>East</v>
      </c>
      <c r="D175" s="2" t="str">
        <f>Dummy_Variables!D175</f>
        <v>Residential</v>
      </c>
      <c r="E175" s="7">
        <f>Dummy_Variables!E175</f>
        <v>721364.11</v>
      </c>
      <c r="F175" s="7">
        <f>Dummy_Variables!F175</f>
        <v>43645.98</v>
      </c>
      <c r="G175" s="7">
        <f>Dummy_Variables!G175</f>
        <v>9480</v>
      </c>
      <c r="H175" s="7">
        <f>Dummy_Variables!H175</f>
        <v>0.109</v>
      </c>
      <c r="I175" s="7">
        <f>Dummy_Variables!I175</f>
        <v>22</v>
      </c>
      <c r="J175" s="7">
        <f>Dummy_Variables!J175</f>
        <v>89</v>
      </c>
      <c r="K175" s="2">
        <f>Dummy_Variables!K175</f>
        <v>0</v>
      </c>
      <c r="L175" s="7">
        <f>Dummy_Variables!L175</f>
        <v>3.1</v>
      </c>
      <c r="M175" s="2">
        <f>Dummy_Variables!M175</f>
        <v>0</v>
      </c>
      <c r="N175" s="2">
        <f>Dummy_Variables!N175</f>
        <v>0</v>
      </c>
      <c r="O175" s="2">
        <f>Dummy_Variables!O175</f>
        <v>0</v>
      </c>
      <c r="P175" s="7">
        <f t="shared" si="8"/>
        <v>739156.29027629248</v>
      </c>
      <c r="Q175" s="7">
        <f t="shared" si="9"/>
        <v>-17792.180276292493</v>
      </c>
      <c r="R175" s="7">
        <f t="shared" si="10"/>
        <v>17792.180276292493</v>
      </c>
      <c r="S175" s="2" t="str">
        <f t="shared" si="11"/>
        <v>Negative residual - actual below prediction</v>
      </c>
      <c r="T175" s="2"/>
      <c r="U175" s="2"/>
      <c r="V175" s="2"/>
    </row>
    <row r="176" spans="1:22" x14ac:dyDescent="0.35">
      <c r="A176" s="2" t="str">
        <f>Dummy_Variables!A176</f>
        <v>STR-1044</v>
      </c>
      <c r="B176" s="2" t="str">
        <f>Dummy_Variables!B176</f>
        <v>2025-03</v>
      </c>
      <c r="C176" s="2" t="str">
        <f>Dummy_Variables!C176</f>
        <v>East</v>
      </c>
      <c r="D176" s="2" t="str">
        <f>Dummy_Variables!D176</f>
        <v>Residential</v>
      </c>
      <c r="E176" s="7">
        <f>Dummy_Variables!E176</f>
        <v>758138.29</v>
      </c>
      <c r="F176" s="7">
        <f>Dummy_Variables!F176</f>
        <v>68040.149999999994</v>
      </c>
      <c r="G176" s="7">
        <f>Dummy_Variables!G176</f>
        <v>9826</v>
      </c>
      <c r="H176" s="7">
        <f>Dummy_Variables!H176</f>
        <v>0.125</v>
      </c>
      <c r="I176" s="7">
        <f>Dummy_Variables!I176</f>
        <v>20</v>
      </c>
      <c r="J176" s="7">
        <f>Dummy_Variables!J176</f>
        <v>83.9</v>
      </c>
      <c r="K176" s="2">
        <f>Dummy_Variables!K176</f>
        <v>0</v>
      </c>
      <c r="L176" s="7">
        <f>Dummy_Variables!L176</f>
        <v>3.6</v>
      </c>
      <c r="M176" s="2">
        <f>Dummy_Variables!M176</f>
        <v>0</v>
      </c>
      <c r="N176" s="2">
        <f>Dummy_Variables!N176</f>
        <v>0</v>
      </c>
      <c r="O176" s="2">
        <f>Dummy_Variables!O176</f>
        <v>0</v>
      </c>
      <c r="P176" s="7">
        <f t="shared" si="8"/>
        <v>761626.2819793371</v>
      </c>
      <c r="Q176" s="7">
        <f t="shared" si="9"/>
        <v>-3487.9919793370645</v>
      </c>
      <c r="R176" s="7">
        <f t="shared" si="10"/>
        <v>3487.9919793370645</v>
      </c>
      <c r="S176" s="2" t="str">
        <f t="shared" si="11"/>
        <v>Negative residual - actual below prediction</v>
      </c>
      <c r="T176" s="2"/>
      <c r="U176" s="2"/>
      <c r="V176" s="2"/>
    </row>
    <row r="177" spans="1:22" x14ac:dyDescent="0.35">
      <c r="A177" s="2" t="str">
        <f>Dummy_Variables!A177</f>
        <v>STR-1044</v>
      </c>
      <c r="B177" s="2" t="str">
        <f>Dummy_Variables!B177</f>
        <v>2025-04</v>
      </c>
      <c r="C177" s="2" t="str">
        <f>Dummy_Variables!C177</f>
        <v>East</v>
      </c>
      <c r="D177" s="2" t="str">
        <f>Dummy_Variables!D177</f>
        <v>Residential</v>
      </c>
      <c r="E177" s="7">
        <f>Dummy_Variables!E177</f>
        <v>804264</v>
      </c>
      <c r="F177" s="7">
        <f>Dummy_Variables!F177</f>
        <v>63043.94</v>
      </c>
      <c r="G177" s="7">
        <f>Dummy_Variables!G177</f>
        <v>10402</v>
      </c>
      <c r="H177" s="7">
        <f>Dummy_Variables!H177</f>
        <v>0.159</v>
      </c>
      <c r="I177" s="7">
        <f>Dummy_Variables!I177</f>
        <v>23</v>
      </c>
      <c r="J177" s="7">
        <f>Dummy_Variables!J177</f>
        <v>93.9</v>
      </c>
      <c r="K177" s="2">
        <f>Dummy_Variables!K177</f>
        <v>0</v>
      </c>
      <c r="L177" s="7">
        <f>Dummy_Variables!L177</f>
        <v>3.1</v>
      </c>
      <c r="M177" s="2">
        <f>Dummy_Variables!M177</f>
        <v>0</v>
      </c>
      <c r="N177" s="2">
        <f>Dummy_Variables!N177</f>
        <v>0</v>
      </c>
      <c r="O177" s="2">
        <f>Dummy_Variables!O177</f>
        <v>0</v>
      </c>
      <c r="P177" s="7">
        <f t="shared" si="8"/>
        <v>802124.242422109</v>
      </c>
      <c r="Q177" s="7">
        <f t="shared" si="9"/>
        <v>2139.7575778909959</v>
      </c>
      <c r="R177" s="7">
        <f t="shared" si="10"/>
        <v>2139.7575778909959</v>
      </c>
      <c r="S177" s="2" t="str">
        <f t="shared" si="11"/>
        <v>Positive residual - actual above prediction</v>
      </c>
      <c r="T177" s="2"/>
      <c r="U177" s="2"/>
      <c r="V177" s="2"/>
    </row>
    <row r="178" spans="1:22" x14ac:dyDescent="0.35">
      <c r="A178" s="2" t="str">
        <f>Dummy_Variables!A178</f>
        <v>STR-1045</v>
      </c>
      <c r="B178" s="2" t="str">
        <f>Dummy_Variables!B178</f>
        <v>2025-01</v>
      </c>
      <c r="C178" s="2" t="str">
        <f>Dummy_Variables!C178</f>
        <v>West</v>
      </c>
      <c r="D178" s="2" t="str">
        <f>Dummy_Variables!D178</f>
        <v>Airport</v>
      </c>
      <c r="E178" s="7">
        <f>Dummy_Variables!E178</f>
        <v>887537.75</v>
      </c>
      <c r="F178" s="7">
        <f>Dummy_Variables!F178</f>
        <v>67494.09</v>
      </c>
      <c r="G178" s="7">
        <f>Dummy_Variables!G178</f>
        <v>12361</v>
      </c>
      <c r="H178" s="7">
        <f>Dummy_Variables!H178</f>
        <v>4.5999999999999999E-2</v>
      </c>
      <c r="I178" s="7">
        <f>Dummy_Variables!I178</f>
        <v>24</v>
      </c>
      <c r="J178" s="7">
        <f>Dummy_Variables!J178</f>
        <v>76.599999999999994</v>
      </c>
      <c r="K178" s="2">
        <f>Dummy_Variables!K178</f>
        <v>1</v>
      </c>
      <c r="L178" s="7">
        <f>Dummy_Variables!L178</f>
        <v>3.7</v>
      </c>
      <c r="M178" s="2">
        <f>Dummy_Variables!M178</f>
        <v>1</v>
      </c>
      <c r="N178" s="2">
        <f>Dummy_Variables!N178</f>
        <v>0</v>
      </c>
      <c r="O178" s="2">
        <f>Dummy_Variables!O178</f>
        <v>0</v>
      </c>
      <c r="P178" s="7">
        <f t="shared" si="8"/>
        <v>879895.46829676058</v>
      </c>
      <c r="Q178" s="7">
        <f t="shared" si="9"/>
        <v>7642.2817032394232</v>
      </c>
      <c r="R178" s="7">
        <f t="shared" si="10"/>
        <v>7642.2817032394232</v>
      </c>
      <c r="S178" s="2" t="str">
        <f t="shared" si="11"/>
        <v>Positive residual - actual above prediction</v>
      </c>
      <c r="T178" s="2"/>
      <c r="U178" s="2"/>
      <c r="V178" s="2"/>
    </row>
    <row r="179" spans="1:22" x14ac:dyDescent="0.35">
      <c r="A179" s="2" t="str">
        <f>Dummy_Variables!A179</f>
        <v>STR-1045</v>
      </c>
      <c r="B179" s="2" t="str">
        <f>Dummy_Variables!B179</f>
        <v>2025-02</v>
      </c>
      <c r="C179" s="2" t="str">
        <f>Dummy_Variables!C179</f>
        <v>West</v>
      </c>
      <c r="D179" s="2" t="str">
        <f>Dummy_Variables!D179</f>
        <v>Airport</v>
      </c>
      <c r="E179" s="7">
        <f>Dummy_Variables!E179</f>
        <v>783582</v>
      </c>
      <c r="F179" s="7">
        <f>Dummy_Variables!F179</f>
        <v>29389.32</v>
      </c>
      <c r="G179" s="7">
        <f>Dummy_Variables!G179</f>
        <v>7925</v>
      </c>
      <c r="H179" s="7">
        <f>Dummy_Variables!H179</f>
        <v>0.17699999999999999</v>
      </c>
      <c r="I179" s="7">
        <f>Dummy_Variables!I179</f>
        <v>21</v>
      </c>
      <c r="J179" s="7">
        <f>Dummy_Variables!J179</f>
        <v>90.9</v>
      </c>
      <c r="K179" s="2">
        <f>Dummy_Variables!K179</f>
        <v>0</v>
      </c>
      <c r="L179" s="7">
        <f>Dummy_Variables!L179</f>
        <v>4</v>
      </c>
      <c r="M179" s="2">
        <f>Dummy_Variables!M179</f>
        <v>1</v>
      </c>
      <c r="N179" s="2">
        <f>Dummy_Variables!N179</f>
        <v>0</v>
      </c>
      <c r="O179" s="2">
        <f>Dummy_Variables!O179</f>
        <v>0</v>
      </c>
      <c r="P179" s="7">
        <f t="shared" si="8"/>
        <v>727855.512872861</v>
      </c>
      <c r="Q179" s="7">
        <f t="shared" si="9"/>
        <v>55726.487127139</v>
      </c>
      <c r="R179" s="7">
        <f t="shared" si="10"/>
        <v>55726.487127139</v>
      </c>
      <c r="S179" s="2" t="str">
        <f t="shared" si="11"/>
        <v>Positive residual - actual above prediction</v>
      </c>
      <c r="T179" s="2"/>
      <c r="U179" s="2"/>
      <c r="V179" s="2"/>
    </row>
    <row r="180" spans="1:22" x14ac:dyDescent="0.35">
      <c r="A180" s="2" t="str">
        <f>Dummy_Variables!A180</f>
        <v>STR-1045</v>
      </c>
      <c r="B180" s="2" t="str">
        <f>Dummy_Variables!B180</f>
        <v>2025-03</v>
      </c>
      <c r="C180" s="2" t="str">
        <f>Dummy_Variables!C180</f>
        <v>West</v>
      </c>
      <c r="D180" s="2" t="str">
        <f>Dummy_Variables!D180</f>
        <v>Airport</v>
      </c>
      <c r="E180" s="7">
        <f>Dummy_Variables!E180</f>
        <v>781955.52</v>
      </c>
      <c r="F180" s="7">
        <f>Dummy_Variables!F180</f>
        <v>40535.089999999997</v>
      </c>
      <c r="G180" s="7">
        <f>Dummy_Variables!G180</f>
        <v>8870</v>
      </c>
      <c r="H180" s="7">
        <f>Dummy_Variables!H180</f>
        <v>4.1000000000000002E-2</v>
      </c>
      <c r="I180" s="7">
        <f>Dummy_Variables!I180</f>
        <v>21</v>
      </c>
      <c r="J180" s="7">
        <f>Dummy_Variables!J180</f>
        <v>86.6</v>
      </c>
      <c r="K180" s="2">
        <f>Dummy_Variables!K180</f>
        <v>0</v>
      </c>
      <c r="L180" s="7">
        <f>Dummy_Variables!L180</f>
        <v>4.0999999999999996</v>
      </c>
      <c r="M180" s="2">
        <f>Dummy_Variables!M180</f>
        <v>1</v>
      </c>
      <c r="N180" s="2">
        <f>Dummy_Variables!N180</f>
        <v>0</v>
      </c>
      <c r="O180" s="2">
        <f>Dummy_Variables!O180</f>
        <v>0</v>
      </c>
      <c r="P180" s="7">
        <f t="shared" si="8"/>
        <v>764812.11706169823</v>
      </c>
      <c r="Q180" s="7">
        <f t="shared" si="9"/>
        <v>17143.402938301791</v>
      </c>
      <c r="R180" s="7">
        <f t="shared" si="10"/>
        <v>17143.402938301791</v>
      </c>
      <c r="S180" s="2" t="str">
        <f t="shared" si="11"/>
        <v>Positive residual - actual above prediction</v>
      </c>
      <c r="T180" s="2"/>
      <c r="U180" s="2"/>
      <c r="V180" s="2"/>
    </row>
    <row r="181" spans="1:22" x14ac:dyDescent="0.35">
      <c r="A181" s="2" t="str">
        <f>Dummy_Variables!A181</f>
        <v>STR-1045</v>
      </c>
      <c r="B181" s="2" t="str">
        <f>Dummy_Variables!B181</f>
        <v>2025-04</v>
      </c>
      <c r="C181" s="2" t="str">
        <f>Dummy_Variables!C181</f>
        <v>West</v>
      </c>
      <c r="D181" s="2" t="str">
        <f>Dummy_Variables!D181</f>
        <v>Airport</v>
      </c>
      <c r="E181" s="7">
        <f>Dummy_Variables!E181</f>
        <v>898031.04</v>
      </c>
      <c r="F181" s="7">
        <f>Dummy_Variables!F181</f>
        <v>74881.56</v>
      </c>
      <c r="G181" s="7">
        <f>Dummy_Variables!G181</f>
        <v>9999</v>
      </c>
      <c r="H181" s="7">
        <f>Dummy_Variables!H181</f>
        <v>1.2999999999999999E-2</v>
      </c>
      <c r="I181" s="7">
        <f>Dummy_Variables!I181</f>
        <v>20</v>
      </c>
      <c r="J181" s="7">
        <f>Dummy_Variables!J181</f>
        <v>89.6</v>
      </c>
      <c r="K181" s="2">
        <f>Dummy_Variables!K181</f>
        <v>0</v>
      </c>
      <c r="L181" s="7">
        <f>Dummy_Variables!L181</f>
        <v>4.0999999999999996</v>
      </c>
      <c r="M181" s="2">
        <f>Dummy_Variables!M181</f>
        <v>1</v>
      </c>
      <c r="N181" s="2">
        <f>Dummy_Variables!N181</f>
        <v>0</v>
      </c>
      <c r="O181" s="2">
        <f>Dummy_Variables!O181</f>
        <v>0</v>
      </c>
      <c r="P181" s="7">
        <f t="shared" si="8"/>
        <v>844665.9062211049</v>
      </c>
      <c r="Q181" s="7">
        <f t="shared" si="9"/>
        <v>53365.133778895135</v>
      </c>
      <c r="R181" s="7">
        <f t="shared" si="10"/>
        <v>53365.133778895135</v>
      </c>
      <c r="S181" s="2" t="str">
        <f t="shared" si="11"/>
        <v>Positive residual - actual above prediction</v>
      </c>
      <c r="T181" s="2"/>
      <c r="U181" s="2"/>
      <c r="V181" s="2"/>
    </row>
    <row r="182" spans="1:22" x14ac:dyDescent="0.35">
      <c r="A182" s="2" t="str">
        <f>Dummy_Variables!A182</f>
        <v>STR-1046</v>
      </c>
      <c r="B182" s="2" t="str">
        <f>Dummy_Variables!B182</f>
        <v>2025-01</v>
      </c>
      <c r="C182" s="2" t="str">
        <f>Dummy_Variables!C182</f>
        <v>West</v>
      </c>
      <c r="D182" s="2" t="str">
        <f>Dummy_Variables!D182</f>
        <v>Residential</v>
      </c>
      <c r="E182" s="7">
        <f>Dummy_Variables!E182</f>
        <v>855341.28</v>
      </c>
      <c r="F182" s="7">
        <f>Dummy_Variables!F182</f>
        <v>68491.11</v>
      </c>
      <c r="G182" s="7">
        <f>Dummy_Variables!G182</f>
        <v>11154</v>
      </c>
      <c r="H182" s="7">
        <f>Dummy_Variables!H182</f>
        <v>1E-3</v>
      </c>
      <c r="I182" s="7">
        <f>Dummy_Variables!I182</f>
        <v>24</v>
      </c>
      <c r="J182" s="7">
        <f>Dummy_Variables!J182</f>
        <v>89.4</v>
      </c>
      <c r="K182" s="2">
        <f>Dummy_Variables!K182</f>
        <v>1</v>
      </c>
      <c r="L182" s="7">
        <f>Dummy_Variables!L182</f>
        <v>3.9</v>
      </c>
      <c r="M182" s="2">
        <f>Dummy_Variables!M182</f>
        <v>0</v>
      </c>
      <c r="N182" s="2">
        <f>Dummy_Variables!N182</f>
        <v>0</v>
      </c>
      <c r="O182" s="2">
        <f>Dummy_Variables!O182</f>
        <v>0</v>
      </c>
      <c r="P182" s="7">
        <f t="shared" si="8"/>
        <v>851693.51374718687</v>
      </c>
      <c r="Q182" s="7">
        <f t="shared" si="9"/>
        <v>3647.7662528131623</v>
      </c>
      <c r="R182" s="7">
        <f t="shared" si="10"/>
        <v>3647.7662528131623</v>
      </c>
      <c r="S182" s="2" t="str">
        <f t="shared" si="11"/>
        <v>Positive residual - actual above prediction</v>
      </c>
      <c r="T182" s="2"/>
      <c r="U182" s="2"/>
      <c r="V182" s="2"/>
    </row>
    <row r="183" spans="1:22" x14ac:dyDescent="0.35">
      <c r="A183" s="2" t="str">
        <f>Dummy_Variables!A183</f>
        <v>STR-1046</v>
      </c>
      <c r="B183" s="2" t="str">
        <f>Dummy_Variables!B183</f>
        <v>2025-02</v>
      </c>
      <c r="C183" s="2" t="str">
        <f>Dummy_Variables!C183</f>
        <v>West</v>
      </c>
      <c r="D183" s="2" t="str">
        <f>Dummy_Variables!D183</f>
        <v>Residential</v>
      </c>
      <c r="E183" s="7">
        <f>Dummy_Variables!E183</f>
        <v>751393.88</v>
      </c>
      <c r="F183" s="7">
        <f>Dummy_Variables!F183</f>
        <v>45209.25</v>
      </c>
      <c r="G183" s="7">
        <f>Dummy_Variables!G183</f>
        <v>9287</v>
      </c>
      <c r="H183" s="7">
        <f>Dummy_Variables!H183</f>
        <v>0.14099999999999999</v>
      </c>
      <c r="I183" s="7">
        <f>Dummy_Variables!I183</f>
        <v>22</v>
      </c>
      <c r="J183" s="7">
        <f>Dummy_Variables!J183</f>
        <v>86.4</v>
      </c>
      <c r="K183" s="2">
        <f>Dummy_Variables!K183</f>
        <v>0</v>
      </c>
      <c r="L183" s="7">
        <f>Dummy_Variables!L183</f>
        <v>3.6</v>
      </c>
      <c r="M183" s="2">
        <f>Dummy_Variables!M183</f>
        <v>0</v>
      </c>
      <c r="N183" s="2">
        <f>Dummy_Variables!N183</f>
        <v>0</v>
      </c>
      <c r="O183" s="2">
        <f>Dummy_Variables!O183</f>
        <v>0</v>
      </c>
      <c r="P183" s="7">
        <f t="shared" si="8"/>
        <v>732050.35619410744</v>
      </c>
      <c r="Q183" s="7">
        <f t="shared" si="9"/>
        <v>19343.523805892561</v>
      </c>
      <c r="R183" s="7">
        <f t="shared" si="10"/>
        <v>19343.523805892561</v>
      </c>
      <c r="S183" s="2" t="str">
        <f t="shared" si="11"/>
        <v>Positive residual - actual above prediction</v>
      </c>
      <c r="T183" s="2"/>
      <c r="U183" s="2"/>
      <c r="V183" s="2"/>
    </row>
    <row r="184" spans="1:22" x14ac:dyDescent="0.35">
      <c r="A184" s="2" t="str">
        <f>Dummy_Variables!A184</f>
        <v>STR-1046</v>
      </c>
      <c r="B184" s="2" t="str">
        <f>Dummy_Variables!B184</f>
        <v>2025-03</v>
      </c>
      <c r="C184" s="2" t="str">
        <f>Dummy_Variables!C184</f>
        <v>West</v>
      </c>
      <c r="D184" s="2" t="str">
        <f>Dummy_Variables!D184</f>
        <v>Residential</v>
      </c>
      <c r="E184" s="7">
        <f>Dummy_Variables!E184</f>
        <v>761077.08</v>
      </c>
      <c r="F184" s="7">
        <f>Dummy_Variables!F184</f>
        <v>63010.23</v>
      </c>
      <c r="G184" s="7">
        <f>Dummy_Variables!G184</f>
        <v>9812</v>
      </c>
      <c r="H184" s="7">
        <f>Dummy_Variables!H184</f>
        <v>0.113</v>
      </c>
      <c r="I184" s="7">
        <f>Dummy_Variables!I184</f>
        <v>24</v>
      </c>
      <c r="J184" s="7">
        <f>Dummy_Variables!J184</f>
        <v>76.8</v>
      </c>
      <c r="K184" s="2">
        <f>Dummy_Variables!K184</f>
        <v>1</v>
      </c>
      <c r="L184" s="7">
        <f>Dummy_Variables!L184</f>
        <v>3.8</v>
      </c>
      <c r="M184" s="2">
        <f>Dummy_Variables!M184</f>
        <v>0</v>
      </c>
      <c r="N184" s="2">
        <f>Dummy_Variables!N184</f>
        <v>0</v>
      </c>
      <c r="O184" s="2">
        <f>Dummy_Variables!O184</f>
        <v>0</v>
      </c>
      <c r="P184" s="7">
        <f t="shared" si="8"/>
        <v>760606.42789620277</v>
      </c>
      <c r="Q184" s="7">
        <f t="shared" si="9"/>
        <v>470.65210379718337</v>
      </c>
      <c r="R184" s="7">
        <f t="shared" si="10"/>
        <v>470.65210379718337</v>
      </c>
      <c r="S184" s="2" t="str">
        <f t="shared" si="11"/>
        <v>Positive residual - actual above prediction</v>
      </c>
      <c r="T184" s="2"/>
      <c r="U184" s="2"/>
      <c r="V184" s="2"/>
    </row>
    <row r="185" spans="1:22" x14ac:dyDescent="0.35">
      <c r="A185" s="2" t="str">
        <f>Dummy_Variables!A185</f>
        <v>STR-1046</v>
      </c>
      <c r="B185" s="2" t="str">
        <f>Dummy_Variables!B185</f>
        <v>2025-04</v>
      </c>
      <c r="C185" s="2" t="str">
        <f>Dummy_Variables!C185</f>
        <v>West</v>
      </c>
      <c r="D185" s="2" t="str">
        <f>Dummy_Variables!D185</f>
        <v>Residential</v>
      </c>
      <c r="E185" s="7">
        <f>Dummy_Variables!E185</f>
        <v>819660.59</v>
      </c>
      <c r="F185" s="7">
        <f>Dummy_Variables!F185</f>
        <v>57948.88</v>
      </c>
      <c r="G185" s="7">
        <f>Dummy_Variables!G185</f>
        <v>10741</v>
      </c>
      <c r="H185" s="7">
        <f>Dummy_Variables!H185</f>
        <v>7.0000000000000007E-2</v>
      </c>
      <c r="I185" s="7">
        <f>Dummy_Variables!I185</f>
        <v>25</v>
      </c>
      <c r="J185" s="7">
        <f>Dummy_Variables!J185</f>
        <v>90.1</v>
      </c>
      <c r="K185" s="2">
        <f>Dummy_Variables!K185</f>
        <v>0</v>
      </c>
      <c r="L185" s="7">
        <f>Dummy_Variables!L185</f>
        <v>3.1</v>
      </c>
      <c r="M185" s="2">
        <f>Dummy_Variables!M185</f>
        <v>0</v>
      </c>
      <c r="N185" s="2">
        <f>Dummy_Variables!N185</f>
        <v>0</v>
      </c>
      <c r="O185" s="2">
        <f>Dummy_Variables!O185</f>
        <v>0</v>
      </c>
      <c r="P185" s="7">
        <f t="shared" si="8"/>
        <v>805865.5530416806</v>
      </c>
      <c r="Q185" s="7">
        <f t="shared" si="9"/>
        <v>13795.036958319368</v>
      </c>
      <c r="R185" s="7">
        <f t="shared" si="10"/>
        <v>13795.036958319368</v>
      </c>
      <c r="S185" s="2" t="str">
        <f t="shared" si="11"/>
        <v>Positive residual - actual above prediction</v>
      </c>
      <c r="T185" s="2"/>
      <c r="U185" s="2"/>
      <c r="V185" s="2"/>
    </row>
    <row r="186" spans="1:22" x14ac:dyDescent="0.35">
      <c r="A186" s="2" t="str">
        <f>Dummy_Variables!A186</f>
        <v>STR-1047</v>
      </c>
      <c r="B186" s="2" t="str">
        <f>Dummy_Variables!B186</f>
        <v>2025-01</v>
      </c>
      <c r="C186" s="2" t="str">
        <f>Dummy_Variables!C186</f>
        <v>North</v>
      </c>
      <c r="D186" s="2" t="str">
        <f>Dummy_Variables!D186</f>
        <v>High Street</v>
      </c>
      <c r="E186" s="7">
        <f>Dummy_Variables!E186</f>
        <v>681855.56</v>
      </c>
      <c r="F186" s="7">
        <f>Dummy_Variables!F186</f>
        <v>71941.62</v>
      </c>
      <c r="G186" s="7">
        <f>Dummy_Variables!G186</f>
        <v>6084</v>
      </c>
      <c r="H186" s="7">
        <f>Dummy_Variables!H186</f>
        <v>7.1999999999999995E-2</v>
      </c>
      <c r="I186" s="7">
        <f>Dummy_Variables!I186</f>
        <v>13</v>
      </c>
      <c r="J186" s="7">
        <f>Dummy_Variables!J186</f>
        <v>93.7</v>
      </c>
      <c r="K186" s="2">
        <f>Dummy_Variables!K186</f>
        <v>0</v>
      </c>
      <c r="L186" s="7">
        <f>Dummy_Variables!L186</f>
        <v>4.4000000000000004</v>
      </c>
      <c r="M186" s="2">
        <f>Dummy_Variables!M186</f>
        <v>0</v>
      </c>
      <c r="N186" s="2">
        <f>Dummy_Variables!N186</f>
        <v>1</v>
      </c>
      <c r="O186" s="2">
        <f>Dummy_Variables!O186</f>
        <v>0</v>
      </c>
      <c r="P186" s="7">
        <f t="shared" si="8"/>
        <v>701411.50274499157</v>
      </c>
      <c r="Q186" s="7">
        <f t="shared" si="9"/>
        <v>-19555.942744991509</v>
      </c>
      <c r="R186" s="7">
        <f t="shared" si="10"/>
        <v>19555.942744991509</v>
      </c>
      <c r="S186" s="2" t="str">
        <f t="shared" si="11"/>
        <v>Negative residual - actual below prediction</v>
      </c>
      <c r="T186" s="2"/>
      <c r="U186" s="2"/>
      <c r="V186" s="2"/>
    </row>
    <row r="187" spans="1:22" x14ac:dyDescent="0.35">
      <c r="A187" s="2" t="str">
        <f>Dummy_Variables!A187</f>
        <v>STR-1047</v>
      </c>
      <c r="B187" s="2" t="str">
        <f>Dummy_Variables!B187</f>
        <v>2025-02</v>
      </c>
      <c r="C187" s="2" t="str">
        <f>Dummy_Variables!C187</f>
        <v>North</v>
      </c>
      <c r="D187" s="2" t="str">
        <f>Dummy_Variables!D187</f>
        <v>High Street</v>
      </c>
      <c r="E187" s="7">
        <f>Dummy_Variables!E187</f>
        <v>678311.17</v>
      </c>
      <c r="F187" s="7">
        <f>Dummy_Variables!F187</f>
        <v>57147.88</v>
      </c>
      <c r="G187" s="7">
        <f>Dummy_Variables!G187</f>
        <v>5252</v>
      </c>
      <c r="H187" s="7">
        <f>Dummy_Variables!H187</f>
        <v>0.161</v>
      </c>
      <c r="I187" s="7">
        <f>Dummy_Variables!I187</f>
        <v>15</v>
      </c>
      <c r="J187" s="7">
        <f>Dummy_Variables!J187</f>
        <v>95.5</v>
      </c>
      <c r="K187" s="2">
        <f>Dummy_Variables!K187</f>
        <v>0</v>
      </c>
      <c r="L187" s="7">
        <f>Dummy_Variables!L187</f>
        <v>4.4000000000000004</v>
      </c>
      <c r="M187" s="2">
        <f>Dummy_Variables!M187</f>
        <v>0</v>
      </c>
      <c r="N187" s="2">
        <f>Dummy_Variables!N187</f>
        <v>1</v>
      </c>
      <c r="O187" s="2">
        <f>Dummy_Variables!O187</f>
        <v>0</v>
      </c>
      <c r="P187" s="7">
        <f t="shared" si="8"/>
        <v>665925.872445049</v>
      </c>
      <c r="Q187" s="7">
        <f t="shared" si="9"/>
        <v>12385.297554951045</v>
      </c>
      <c r="R187" s="7">
        <f t="shared" si="10"/>
        <v>12385.297554951045</v>
      </c>
      <c r="S187" s="2" t="str">
        <f t="shared" si="11"/>
        <v>Positive residual - actual above prediction</v>
      </c>
      <c r="T187" s="2"/>
      <c r="U187" s="2"/>
      <c r="V187" s="2"/>
    </row>
    <row r="188" spans="1:22" x14ac:dyDescent="0.35">
      <c r="A188" s="2" t="str">
        <f>Dummy_Variables!A188</f>
        <v>STR-1047</v>
      </c>
      <c r="B188" s="2" t="str">
        <f>Dummy_Variables!B188</f>
        <v>2025-03</v>
      </c>
      <c r="C188" s="2" t="str">
        <f>Dummy_Variables!C188</f>
        <v>North</v>
      </c>
      <c r="D188" s="2" t="str">
        <f>Dummy_Variables!D188</f>
        <v>High Street</v>
      </c>
      <c r="E188" s="7">
        <f>Dummy_Variables!E188</f>
        <v>765906.95</v>
      </c>
      <c r="F188" s="7">
        <f>Dummy_Variables!F188</f>
        <v>48031.74</v>
      </c>
      <c r="G188" s="7">
        <f>Dummy_Variables!G188</f>
        <v>6516</v>
      </c>
      <c r="H188" s="7">
        <f>Dummy_Variables!H188</f>
        <v>6.7000000000000004E-2</v>
      </c>
      <c r="I188" s="7">
        <f>Dummy_Variables!I188</f>
        <v>14</v>
      </c>
      <c r="J188" s="7">
        <f>Dummy_Variables!J188</f>
        <v>99</v>
      </c>
      <c r="K188" s="2">
        <f>Dummy_Variables!K188</f>
        <v>1</v>
      </c>
      <c r="L188" s="7">
        <f>Dummy_Variables!L188</f>
        <v>4.3</v>
      </c>
      <c r="M188" s="2">
        <f>Dummy_Variables!M188</f>
        <v>0</v>
      </c>
      <c r="N188" s="2">
        <f>Dummy_Variables!N188</f>
        <v>1</v>
      </c>
      <c r="O188" s="2">
        <f>Dummy_Variables!O188</f>
        <v>0</v>
      </c>
      <c r="P188" s="7">
        <f t="shared" si="8"/>
        <v>715795.8488767714</v>
      </c>
      <c r="Q188" s="7">
        <f t="shared" si="9"/>
        <v>50111.101123228553</v>
      </c>
      <c r="R188" s="7">
        <f t="shared" si="10"/>
        <v>50111.101123228553</v>
      </c>
      <c r="S188" s="2" t="str">
        <f t="shared" si="11"/>
        <v>Positive residual - actual above prediction</v>
      </c>
      <c r="T188" s="2"/>
      <c r="U188" s="2"/>
      <c r="V188" s="2"/>
    </row>
    <row r="189" spans="1:22" x14ac:dyDescent="0.35">
      <c r="A189" s="2" t="str">
        <f>Dummy_Variables!A189</f>
        <v>STR-1047</v>
      </c>
      <c r="B189" s="2" t="str">
        <f>Dummy_Variables!B189</f>
        <v>2025-04</v>
      </c>
      <c r="C189" s="2" t="str">
        <f>Dummy_Variables!C189</f>
        <v>North</v>
      </c>
      <c r="D189" s="2" t="str">
        <f>Dummy_Variables!D189</f>
        <v>High Street</v>
      </c>
      <c r="E189" s="7">
        <f>Dummy_Variables!E189</f>
        <v>712546.38</v>
      </c>
      <c r="F189" s="7">
        <f>Dummy_Variables!F189</f>
        <v>72784.800000000003</v>
      </c>
      <c r="G189" s="7">
        <f>Dummy_Variables!G189</f>
        <v>7932</v>
      </c>
      <c r="H189" s="7">
        <f>Dummy_Variables!H189</f>
        <v>9.4E-2</v>
      </c>
      <c r="I189" s="7">
        <f>Dummy_Variables!I189</f>
        <v>20</v>
      </c>
      <c r="J189" s="7">
        <f>Dummy_Variables!J189</f>
        <v>74.900000000000006</v>
      </c>
      <c r="K189" s="2">
        <f>Dummy_Variables!K189</f>
        <v>0</v>
      </c>
      <c r="L189" s="7">
        <f>Dummy_Variables!L189</f>
        <v>4.2</v>
      </c>
      <c r="M189" s="2">
        <f>Dummy_Variables!M189</f>
        <v>0</v>
      </c>
      <c r="N189" s="2">
        <f>Dummy_Variables!N189</f>
        <v>1</v>
      </c>
      <c r="O189" s="2">
        <f>Dummy_Variables!O189</f>
        <v>0</v>
      </c>
      <c r="P189" s="7">
        <f t="shared" si="8"/>
        <v>713928.27377437346</v>
      </c>
      <c r="Q189" s="7">
        <f t="shared" si="9"/>
        <v>-1381.8937743734568</v>
      </c>
      <c r="R189" s="7">
        <f t="shared" si="10"/>
        <v>1381.8937743734568</v>
      </c>
      <c r="S189" s="2" t="str">
        <f t="shared" si="11"/>
        <v>Negative residual - actual below prediction</v>
      </c>
      <c r="T189" s="2"/>
      <c r="U189" s="2"/>
      <c r="V189" s="2"/>
    </row>
    <row r="190" spans="1:22" x14ac:dyDescent="0.35">
      <c r="A190" s="2" t="str">
        <f>Dummy_Variables!A190</f>
        <v>STR-1048</v>
      </c>
      <c r="B190" s="2" t="str">
        <f>Dummy_Variables!B190</f>
        <v>2025-01</v>
      </c>
      <c r="C190" s="2" t="str">
        <f>Dummy_Variables!C190</f>
        <v>East</v>
      </c>
      <c r="D190" s="2" t="str">
        <f>Dummy_Variables!D190</f>
        <v>High Street</v>
      </c>
      <c r="E190" s="7">
        <f>Dummy_Variables!E190</f>
        <v>625993.82999999996</v>
      </c>
      <c r="F190" s="7">
        <f>Dummy_Variables!F190</f>
        <v>71641.899999999994</v>
      </c>
      <c r="G190" s="7">
        <f>Dummy_Variables!G190</f>
        <v>3506</v>
      </c>
      <c r="H190" s="7">
        <f>Dummy_Variables!H190</f>
        <v>0</v>
      </c>
      <c r="I190" s="7">
        <f>Dummy_Variables!I190</f>
        <v>11</v>
      </c>
      <c r="J190" s="7">
        <f>Dummy_Variables!J190</f>
        <v>86.4</v>
      </c>
      <c r="K190" s="2">
        <f>Dummy_Variables!K190</f>
        <v>0</v>
      </c>
      <c r="L190" s="7">
        <f>Dummy_Variables!L190</f>
        <v>4.0999999999999996</v>
      </c>
      <c r="M190" s="2">
        <f>Dummy_Variables!M190</f>
        <v>0</v>
      </c>
      <c r="N190" s="2">
        <f>Dummy_Variables!N190</f>
        <v>1</v>
      </c>
      <c r="O190" s="2">
        <f>Dummy_Variables!O190</f>
        <v>0</v>
      </c>
      <c r="P190" s="7">
        <f t="shared" si="8"/>
        <v>600950.95493622881</v>
      </c>
      <c r="Q190" s="7">
        <f t="shared" si="9"/>
        <v>25042.875063771149</v>
      </c>
      <c r="R190" s="7">
        <f t="shared" si="10"/>
        <v>25042.875063771149</v>
      </c>
      <c r="S190" s="2" t="str">
        <f t="shared" si="11"/>
        <v>Positive residual - actual above prediction</v>
      </c>
      <c r="T190" s="2"/>
      <c r="U190" s="2"/>
      <c r="V190" s="2"/>
    </row>
    <row r="191" spans="1:22" x14ac:dyDescent="0.35">
      <c r="A191" s="2" t="str">
        <f>Dummy_Variables!A191</f>
        <v>STR-1048</v>
      </c>
      <c r="B191" s="2" t="str">
        <f>Dummy_Variables!B191</f>
        <v>2025-02</v>
      </c>
      <c r="C191" s="2" t="str">
        <f>Dummy_Variables!C191</f>
        <v>East</v>
      </c>
      <c r="D191" s="2" t="str">
        <f>Dummy_Variables!D191</f>
        <v>High Street</v>
      </c>
      <c r="E191" s="7">
        <f>Dummy_Variables!E191</f>
        <v>550962.93000000005</v>
      </c>
      <c r="F191" s="7">
        <f>Dummy_Variables!F191</f>
        <v>55788.61</v>
      </c>
      <c r="G191" s="7">
        <f>Dummy_Variables!G191</f>
        <v>2312</v>
      </c>
      <c r="H191" s="7">
        <f>Dummy_Variables!H191</f>
        <v>5.8000000000000003E-2</v>
      </c>
      <c r="I191" s="7">
        <f>Dummy_Variables!I191</f>
        <v>10</v>
      </c>
      <c r="J191" s="7">
        <f>Dummy_Variables!J191</f>
        <v>91.3</v>
      </c>
      <c r="K191" s="2">
        <f>Dummy_Variables!K191</f>
        <v>0</v>
      </c>
      <c r="L191" s="7">
        <f>Dummy_Variables!L191</f>
        <v>3.8</v>
      </c>
      <c r="M191" s="2">
        <f>Dummy_Variables!M191</f>
        <v>0</v>
      </c>
      <c r="N191" s="2">
        <f>Dummy_Variables!N191</f>
        <v>1</v>
      </c>
      <c r="O191" s="2">
        <f>Dummy_Variables!O191</f>
        <v>0</v>
      </c>
      <c r="P191" s="7">
        <f t="shared" si="8"/>
        <v>552954.52838399902</v>
      </c>
      <c r="Q191" s="7">
        <f t="shared" si="9"/>
        <v>-1991.598383998964</v>
      </c>
      <c r="R191" s="7">
        <f t="shared" si="10"/>
        <v>1991.598383998964</v>
      </c>
      <c r="S191" s="2" t="str">
        <f t="shared" si="11"/>
        <v>Negative residual - actual below prediction</v>
      </c>
      <c r="T191" s="2"/>
      <c r="U191" s="2"/>
      <c r="V191" s="2"/>
    </row>
    <row r="192" spans="1:22" x14ac:dyDescent="0.35">
      <c r="A192" s="2" t="str">
        <f>Dummy_Variables!A192</f>
        <v>STR-1048</v>
      </c>
      <c r="B192" s="2" t="str">
        <f>Dummy_Variables!B192</f>
        <v>2025-03</v>
      </c>
      <c r="C192" s="2" t="str">
        <f>Dummy_Variables!C192</f>
        <v>East</v>
      </c>
      <c r="D192" s="2" t="str">
        <f>Dummy_Variables!D192</f>
        <v>High Street</v>
      </c>
      <c r="E192" s="7">
        <f>Dummy_Variables!E192</f>
        <v>443275.59</v>
      </c>
      <c r="F192" s="7">
        <f>Dummy_Variables!F192</f>
        <v>37705.879999999997</v>
      </c>
      <c r="G192" s="7">
        <f>Dummy_Variables!G192</f>
        <v>1268</v>
      </c>
      <c r="H192" s="7">
        <f>Dummy_Variables!H192</f>
        <v>0.25900000000000001</v>
      </c>
      <c r="I192" s="7">
        <f>Dummy_Variables!I192</f>
        <v>9</v>
      </c>
      <c r="J192" s="7">
        <f>Dummy_Variables!J192</f>
        <v>84.1</v>
      </c>
      <c r="K192" s="2">
        <f>Dummy_Variables!K192</f>
        <v>0</v>
      </c>
      <c r="L192" s="7">
        <f>Dummy_Variables!L192</f>
        <v>3.8</v>
      </c>
      <c r="M192" s="2">
        <f>Dummy_Variables!M192</f>
        <v>0</v>
      </c>
      <c r="N192" s="2">
        <f>Dummy_Variables!N192</f>
        <v>1</v>
      </c>
      <c r="O192" s="2">
        <f>Dummy_Variables!O192</f>
        <v>0</v>
      </c>
      <c r="P192" s="7">
        <f t="shared" si="8"/>
        <v>464709.24910374655</v>
      </c>
      <c r="Q192" s="7">
        <f t="shared" si="9"/>
        <v>-21433.659103746526</v>
      </c>
      <c r="R192" s="7">
        <f t="shared" si="10"/>
        <v>21433.659103746526</v>
      </c>
      <c r="S192" s="2" t="str">
        <f t="shared" si="11"/>
        <v>Negative residual - actual below prediction</v>
      </c>
      <c r="T192" s="2"/>
      <c r="U192" s="2"/>
      <c r="V192" s="2"/>
    </row>
    <row r="193" spans="1:22" x14ac:dyDescent="0.35">
      <c r="A193" s="2" t="str">
        <f>Dummy_Variables!A193</f>
        <v>STR-1048</v>
      </c>
      <c r="B193" s="2" t="str">
        <f>Dummy_Variables!B193</f>
        <v>2025-04</v>
      </c>
      <c r="C193" s="2" t="str">
        <f>Dummy_Variables!C193</f>
        <v>East</v>
      </c>
      <c r="D193" s="2" t="str">
        <f>Dummy_Variables!D193</f>
        <v>High Street</v>
      </c>
      <c r="E193" s="7">
        <f>Dummy_Variables!E193</f>
        <v>554012.06999999995</v>
      </c>
      <c r="F193" s="7">
        <f>Dummy_Variables!F193</f>
        <v>54966.18</v>
      </c>
      <c r="G193" s="7">
        <f>Dummy_Variables!G193</f>
        <v>4423</v>
      </c>
      <c r="H193" s="7">
        <f>Dummy_Variables!H193</f>
        <v>0.186</v>
      </c>
      <c r="I193" s="7">
        <f>Dummy_Variables!I193</f>
        <v>13</v>
      </c>
      <c r="J193" s="7">
        <f>Dummy_Variables!J193</f>
        <v>88.7</v>
      </c>
      <c r="K193" s="2">
        <f>Dummy_Variables!K193</f>
        <v>0</v>
      </c>
      <c r="L193" s="7">
        <f>Dummy_Variables!L193</f>
        <v>4.4000000000000004</v>
      </c>
      <c r="M193" s="2">
        <f>Dummy_Variables!M193</f>
        <v>0</v>
      </c>
      <c r="N193" s="2">
        <f>Dummy_Variables!N193</f>
        <v>1</v>
      </c>
      <c r="O193" s="2">
        <f>Dummy_Variables!O193</f>
        <v>0</v>
      </c>
      <c r="P193" s="7">
        <f t="shared" si="8"/>
        <v>612057.63308553246</v>
      </c>
      <c r="Q193" s="7">
        <f t="shared" si="9"/>
        <v>-58045.563085532514</v>
      </c>
      <c r="R193" s="7">
        <f t="shared" si="10"/>
        <v>58045.563085532514</v>
      </c>
      <c r="S193" s="2" t="str">
        <f t="shared" si="11"/>
        <v>Negative residual - actual below prediction</v>
      </c>
      <c r="T193" s="2"/>
      <c r="U193" s="2"/>
      <c r="V193" s="2"/>
    </row>
    <row r="194" spans="1:22" x14ac:dyDescent="0.35">
      <c r="A194" s="2" t="str">
        <f>Dummy_Variables!A194</f>
        <v>STR-1049</v>
      </c>
      <c r="B194" s="2" t="str">
        <f>Dummy_Variables!B194</f>
        <v>2025-01</v>
      </c>
      <c r="C194" s="2" t="str">
        <f>Dummy_Variables!C194</f>
        <v>West</v>
      </c>
      <c r="D194" s="2" t="str">
        <f>Dummy_Variables!D194</f>
        <v>Residential</v>
      </c>
      <c r="E194" s="7">
        <f>Dummy_Variables!E194</f>
        <v>643428.85</v>
      </c>
      <c r="F194" s="7">
        <f>Dummy_Variables!F194</f>
        <v>81796.740000000005</v>
      </c>
      <c r="G194" s="7">
        <f>Dummy_Variables!G194</f>
        <v>6177</v>
      </c>
      <c r="H194" s="7">
        <f>Dummy_Variables!H194</f>
        <v>0.16400000000000001</v>
      </c>
      <c r="I194" s="7">
        <f>Dummy_Variables!I194</f>
        <v>14</v>
      </c>
      <c r="J194" s="7">
        <f>Dummy_Variables!J194</f>
        <v>87.9</v>
      </c>
      <c r="K194" s="2">
        <f>Dummy_Variables!K194</f>
        <v>0</v>
      </c>
      <c r="L194" s="7">
        <f>Dummy_Variables!L194</f>
        <v>3.2</v>
      </c>
      <c r="M194" s="2">
        <f>Dummy_Variables!M194</f>
        <v>0</v>
      </c>
      <c r="N194" s="2">
        <f>Dummy_Variables!N194</f>
        <v>0</v>
      </c>
      <c r="O194" s="2">
        <f>Dummy_Variables!O194</f>
        <v>0</v>
      </c>
      <c r="P194" s="7">
        <f t="shared" ref="P194:P257" si="12">_xlfn.SINGLE(_xlfn.XLOOKUP("Intercept", $U:$U, $V:$V)) + F194 * _xlfn.SINGLE(_xlfn.XLOOKUP("marketing_spend", $U:$U, $V:$V)) + G194 * _xlfn.SINGLE(_xlfn.XLOOKUP("footfall", $U:$U, $V:$V)) + H194 * _xlfn.SINGLE(_xlfn.XLOOKUP("avg_discount_pct", $U:$U, $V:$V)) + I194 * _xlfn.SINGLE(_xlfn.XLOOKUP("staff_count", $U:$U, $V:$V)) + J194 * _xlfn.SINGLE(_xlfn.XLOOKUP("inventory_availability_pct", $U:$U, $V:$V)) + K194 * _xlfn.SINGLE(_xlfn.XLOOKUP("holiday_flag", $U:$U, $V:$V)) + L194 * _xlfn.SINGLE(_xlfn.XLOOKUP("customer_rating", $U:$U, $V:$V)) + M194 * _xlfn.SINGLE(_xlfn.XLOOKUP("store_type_airport", $U:$U, $V:$V)) + N194 * _xlfn.SINGLE(_xlfn.XLOOKUP("store_type_high_street", $U:$U, $V:$V)) + O194 * _xlfn.SINGLE(_xlfn.XLOOKUP("store_type_mall", $U:$U, $V:$V))</f>
        <v>661222.80405404745</v>
      </c>
      <c r="Q194" s="7">
        <f t="shared" ref="Q194:Q257" si="13">E194-P194</f>
        <v>-17793.95405404747</v>
      </c>
      <c r="R194" s="7">
        <f t="shared" ref="R194:R257" si="14">ABS(Q194)</f>
        <v>17793.95405404747</v>
      </c>
      <c r="S194" s="2" t="str">
        <f t="shared" ref="S194:S257" si="15">IF(Q194&gt;0,"Positive residual - actual above prediction",IF(Q194&lt;0,"Negative residual - actual below prediction","No residual"))</f>
        <v>Negative residual - actual below prediction</v>
      </c>
      <c r="T194" s="2"/>
      <c r="U194" s="2"/>
      <c r="V194" s="2"/>
    </row>
    <row r="195" spans="1:22" x14ac:dyDescent="0.35">
      <c r="A195" s="2" t="str">
        <f>Dummy_Variables!A195</f>
        <v>STR-1049</v>
      </c>
      <c r="B195" s="2" t="str">
        <f>Dummy_Variables!B195</f>
        <v>2025-02</v>
      </c>
      <c r="C195" s="2" t="str">
        <f>Dummy_Variables!C195</f>
        <v>West</v>
      </c>
      <c r="D195" s="2" t="str">
        <f>Dummy_Variables!D195</f>
        <v>Residential</v>
      </c>
      <c r="E195" s="7">
        <f>Dummy_Variables!E195</f>
        <v>611924.27</v>
      </c>
      <c r="F195" s="7">
        <f>Dummy_Variables!F195</f>
        <v>51133.43</v>
      </c>
      <c r="G195" s="7">
        <f>Dummy_Variables!G195</f>
        <v>5150</v>
      </c>
      <c r="H195" s="7">
        <f>Dummy_Variables!H195</f>
        <v>0.15</v>
      </c>
      <c r="I195" s="7">
        <f>Dummy_Variables!I195</f>
        <v>12</v>
      </c>
      <c r="J195" s="7">
        <f>Dummy_Variables!J195</f>
        <v>88.5</v>
      </c>
      <c r="K195" s="2">
        <f>Dummy_Variables!K195</f>
        <v>0</v>
      </c>
      <c r="L195" s="7">
        <f>Dummy_Variables!L195</f>
        <v>3.2</v>
      </c>
      <c r="M195" s="2">
        <f>Dummy_Variables!M195</f>
        <v>0</v>
      </c>
      <c r="N195" s="2">
        <f>Dummy_Variables!N195</f>
        <v>0</v>
      </c>
      <c r="O195" s="2">
        <f>Dummy_Variables!O195</f>
        <v>0</v>
      </c>
      <c r="P195" s="7">
        <f t="shared" si="12"/>
        <v>593654.74526290898</v>
      </c>
      <c r="Q195" s="7">
        <f t="shared" si="13"/>
        <v>18269.524737091037</v>
      </c>
      <c r="R195" s="7">
        <f t="shared" si="14"/>
        <v>18269.524737091037</v>
      </c>
      <c r="S195" s="2" t="str">
        <f t="shared" si="15"/>
        <v>Positive residual - actual above prediction</v>
      </c>
      <c r="T195" s="2"/>
      <c r="U195" s="2"/>
      <c r="V195" s="2"/>
    </row>
    <row r="196" spans="1:22" x14ac:dyDescent="0.35">
      <c r="A196" s="2" t="str">
        <f>Dummy_Variables!A196</f>
        <v>STR-1049</v>
      </c>
      <c r="B196" s="2" t="str">
        <f>Dummy_Variables!B196</f>
        <v>2025-03</v>
      </c>
      <c r="C196" s="2" t="str">
        <f>Dummy_Variables!C196</f>
        <v>West</v>
      </c>
      <c r="D196" s="2" t="str">
        <f>Dummy_Variables!D196</f>
        <v>Residential</v>
      </c>
      <c r="E196" s="7">
        <f>Dummy_Variables!E196</f>
        <v>559422.02</v>
      </c>
      <c r="F196" s="7">
        <f>Dummy_Variables!F196</f>
        <v>40220.18</v>
      </c>
      <c r="G196" s="7">
        <f>Dummy_Variables!G196</f>
        <v>3783</v>
      </c>
      <c r="H196" s="7">
        <f>Dummy_Variables!H196</f>
        <v>8.8999999999999996E-2</v>
      </c>
      <c r="I196" s="7">
        <f>Dummy_Variables!I196</f>
        <v>14</v>
      </c>
      <c r="J196" s="7">
        <f>Dummy_Variables!J196</f>
        <v>86.6</v>
      </c>
      <c r="K196" s="2">
        <f>Dummy_Variables!K196</f>
        <v>0</v>
      </c>
      <c r="L196" s="7">
        <f>Dummy_Variables!L196</f>
        <v>3.7</v>
      </c>
      <c r="M196" s="2">
        <f>Dummy_Variables!M196</f>
        <v>0</v>
      </c>
      <c r="N196" s="2">
        <f>Dummy_Variables!N196</f>
        <v>0</v>
      </c>
      <c r="O196" s="2">
        <f>Dummy_Variables!O196</f>
        <v>0</v>
      </c>
      <c r="P196" s="7">
        <f t="shared" si="12"/>
        <v>552596.18336054659</v>
      </c>
      <c r="Q196" s="7">
        <f t="shared" si="13"/>
        <v>6825.8366394534241</v>
      </c>
      <c r="R196" s="7">
        <f t="shared" si="14"/>
        <v>6825.8366394534241</v>
      </c>
      <c r="S196" s="2" t="str">
        <f t="shared" si="15"/>
        <v>Positive residual - actual above prediction</v>
      </c>
      <c r="T196" s="2"/>
      <c r="U196" s="2"/>
      <c r="V196" s="2"/>
    </row>
    <row r="197" spans="1:22" x14ac:dyDescent="0.35">
      <c r="A197" s="2" t="str">
        <f>Dummy_Variables!A197</f>
        <v>STR-1049</v>
      </c>
      <c r="B197" s="2" t="str">
        <f>Dummy_Variables!B197</f>
        <v>2025-04</v>
      </c>
      <c r="C197" s="2" t="str">
        <f>Dummy_Variables!C197</f>
        <v>West</v>
      </c>
      <c r="D197" s="2" t="str">
        <f>Dummy_Variables!D197</f>
        <v>Residential</v>
      </c>
      <c r="E197" s="7">
        <f>Dummy_Variables!E197</f>
        <v>449465.06</v>
      </c>
      <c r="F197" s="7">
        <f>Dummy_Variables!F197</f>
        <v>41657.64</v>
      </c>
      <c r="G197" s="7">
        <f>Dummy_Variables!G197</f>
        <v>3135</v>
      </c>
      <c r="H197" s="7">
        <f>Dummy_Variables!H197</f>
        <v>0.22900000000000001</v>
      </c>
      <c r="I197" s="7">
        <f>Dummy_Variables!I197</f>
        <v>7</v>
      </c>
      <c r="J197" s="7">
        <f>Dummy_Variables!J197</f>
        <v>85.4</v>
      </c>
      <c r="K197" s="2">
        <f>Dummy_Variables!K197</f>
        <v>0</v>
      </c>
      <c r="L197" s="7">
        <f>Dummy_Variables!L197</f>
        <v>0</v>
      </c>
      <c r="M197" s="2">
        <f>Dummy_Variables!M197</f>
        <v>0</v>
      </c>
      <c r="N197" s="2">
        <f>Dummy_Variables!N197</f>
        <v>0</v>
      </c>
      <c r="O197" s="2">
        <f>Dummy_Variables!O197</f>
        <v>0</v>
      </c>
      <c r="P197" s="7">
        <f t="shared" si="12"/>
        <v>455200.02108199563</v>
      </c>
      <c r="Q197" s="7">
        <f t="shared" si="13"/>
        <v>-5734.9610819956288</v>
      </c>
      <c r="R197" s="7">
        <f t="shared" si="14"/>
        <v>5734.9610819956288</v>
      </c>
      <c r="S197" s="2" t="str">
        <f t="shared" si="15"/>
        <v>Negative residual - actual below prediction</v>
      </c>
      <c r="T197" s="2"/>
      <c r="U197" s="2"/>
      <c r="V197" s="2"/>
    </row>
    <row r="198" spans="1:22" x14ac:dyDescent="0.35">
      <c r="A198" s="2" t="str">
        <f>Dummy_Variables!A198</f>
        <v>STR-1050</v>
      </c>
      <c r="B198" s="2" t="str">
        <f>Dummy_Variables!B198</f>
        <v>2025-01</v>
      </c>
      <c r="C198" s="2" t="str">
        <f>Dummy_Variables!C198</f>
        <v>North</v>
      </c>
      <c r="D198" s="2" t="str">
        <f>Dummy_Variables!D198</f>
        <v>Residential</v>
      </c>
      <c r="E198" s="7">
        <f>Dummy_Variables!E198</f>
        <v>691447.43</v>
      </c>
      <c r="F198" s="7">
        <f>Dummy_Variables!F198</f>
        <v>71851.45</v>
      </c>
      <c r="G198" s="7">
        <f>Dummy_Variables!G198</f>
        <v>4970</v>
      </c>
      <c r="H198" s="7">
        <f>Dummy_Variables!H198</f>
        <v>9.8000000000000004E-2</v>
      </c>
      <c r="I198" s="7">
        <f>Dummy_Variables!I198</f>
        <v>11</v>
      </c>
      <c r="J198" s="7">
        <f>Dummy_Variables!J198</f>
        <v>89.6</v>
      </c>
      <c r="K198" s="2">
        <f>Dummy_Variables!K198</f>
        <v>0</v>
      </c>
      <c r="L198" s="7">
        <f>Dummy_Variables!L198</f>
        <v>4.2</v>
      </c>
      <c r="M198" s="2">
        <f>Dummy_Variables!M198</f>
        <v>0</v>
      </c>
      <c r="N198" s="2">
        <f>Dummy_Variables!N198</f>
        <v>0</v>
      </c>
      <c r="O198" s="2">
        <f>Dummy_Variables!O198</f>
        <v>0</v>
      </c>
      <c r="P198" s="7">
        <f t="shared" si="12"/>
        <v>629394.06424522609</v>
      </c>
      <c r="Q198" s="7">
        <f t="shared" si="13"/>
        <v>62053.365754773957</v>
      </c>
      <c r="R198" s="7">
        <f t="shared" si="14"/>
        <v>62053.365754773957</v>
      </c>
      <c r="S198" s="2" t="str">
        <f t="shared" si="15"/>
        <v>Positive residual - actual above prediction</v>
      </c>
      <c r="T198" s="2"/>
      <c r="U198" s="2"/>
      <c r="V198" s="2"/>
    </row>
    <row r="199" spans="1:22" x14ac:dyDescent="0.35">
      <c r="A199" s="2" t="str">
        <f>Dummy_Variables!A199</f>
        <v>STR-1050</v>
      </c>
      <c r="B199" s="2" t="str">
        <f>Dummy_Variables!B199</f>
        <v>2025-02</v>
      </c>
      <c r="C199" s="2" t="str">
        <f>Dummy_Variables!C199</f>
        <v>North</v>
      </c>
      <c r="D199" s="2" t="str">
        <f>Dummy_Variables!D199</f>
        <v>Residential</v>
      </c>
      <c r="E199" s="7">
        <f>Dummy_Variables!E199</f>
        <v>574066.61</v>
      </c>
      <c r="F199" s="7">
        <f>Dummy_Variables!F199</f>
        <v>54002.83</v>
      </c>
      <c r="G199" s="7">
        <f>Dummy_Variables!G199</f>
        <v>4366</v>
      </c>
      <c r="H199" s="7">
        <f>Dummy_Variables!H199</f>
        <v>2.7E-2</v>
      </c>
      <c r="I199" s="7">
        <f>Dummy_Variables!I199</f>
        <v>15</v>
      </c>
      <c r="J199" s="7">
        <f>Dummy_Variables!J199</f>
        <v>90.6</v>
      </c>
      <c r="K199" s="2">
        <f>Dummy_Variables!K199</f>
        <v>0</v>
      </c>
      <c r="L199" s="7">
        <f>Dummy_Variables!L199</f>
        <v>4.5999999999999996</v>
      </c>
      <c r="M199" s="2">
        <f>Dummy_Variables!M199</f>
        <v>0</v>
      </c>
      <c r="N199" s="2">
        <f>Dummy_Variables!N199</f>
        <v>0</v>
      </c>
      <c r="O199" s="2">
        <f>Dummy_Variables!O199</f>
        <v>0</v>
      </c>
      <c r="P199" s="7">
        <f t="shared" si="12"/>
        <v>615742.14954109618</v>
      </c>
      <c r="Q199" s="7">
        <f t="shared" si="13"/>
        <v>-41675.539541096194</v>
      </c>
      <c r="R199" s="7">
        <f t="shared" si="14"/>
        <v>41675.539541096194</v>
      </c>
      <c r="S199" s="2" t="str">
        <f t="shared" si="15"/>
        <v>Negative residual - actual below prediction</v>
      </c>
      <c r="T199" s="2"/>
      <c r="U199" s="2"/>
      <c r="V199" s="2"/>
    </row>
    <row r="200" spans="1:22" x14ac:dyDescent="0.35">
      <c r="A200" s="2" t="str">
        <f>Dummy_Variables!A200</f>
        <v>STR-1050</v>
      </c>
      <c r="B200" s="2" t="str">
        <f>Dummy_Variables!B200</f>
        <v>2025-03</v>
      </c>
      <c r="C200" s="2" t="str">
        <f>Dummy_Variables!C200</f>
        <v>North</v>
      </c>
      <c r="D200" s="2" t="str">
        <f>Dummy_Variables!D200</f>
        <v>Residential</v>
      </c>
      <c r="E200" s="7">
        <f>Dummy_Variables!E200</f>
        <v>578949.84</v>
      </c>
      <c r="F200" s="7">
        <f>Dummy_Variables!F200</f>
        <v>54479.33</v>
      </c>
      <c r="G200" s="7">
        <f>Dummy_Variables!G200</f>
        <v>5012</v>
      </c>
      <c r="H200" s="7">
        <f>Dummy_Variables!H200</f>
        <v>0.28399999999999997</v>
      </c>
      <c r="I200" s="7">
        <f>Dummy_Variables!I200</f>
        <v>13</v>
      </c>
      <c r="J200" s="7">
        <f>Dummy_Variables!J200</f>
        <v>86</v>
      </c>
      <c r="K200" s="2">
        <f>Dummy_Variables!K200</f>
        <v>1</v>
      </c>
      <c r="L200" s="7">
        <f>Dummy_Variables!L200</f>
        <v>4.3</v>
      </c>
      <c r="M200" s="2">
        <f>Dummy_Variables!M200</f>
        <v>0</v>
      </c>
      <c r="N200" s="2">
        <f>Dummy_Variables!N200</f>
        <v>0</v>
      </c>
      <c r="O200" s="2">
        <f>Dummy_Variables!O200</f>
        <v>0</v>
      </c>
      <c r="P200" s="7">
        <f t="shared" si="12"/>
        <v>606365.04037200497</v>
      </c>
      <c r="Q200" s="7">
        <f t="shared" si="13"/>
        <v>-27415.200372004998</v>
      </c>
      <c r="R200" s="7">
        <f t="shared" si="14"/>
        <v>27415.200372004998</v>
      </c>
      <c r="S200" s="2" t="str">
        <f t="shared" si="15"/>
        <v>Negative residual - actual below prediction</v>
      </c>
      <c r="T200" s="2"/>
      <c r="U200" s="2"/>
      <c r="V200" s="2"/>
    </row>
    <row r="201" spans="1:22" x14ac:dyDescent="0.35">
      <c r="A201" s="2" t="str">
        <f>Dummy_Variables!A201</f>
        <v>STR-1050</v>
      </c>
      <c r="B201" s="2" t="str">
        <f>Dummy_Variables!B201</f>
        <v>2025-04</v>
      </c>
      <c r="C201" s="2" t="str">
        <f>Dummy_Variables!C201</f>
        <v>North</v>
      </c>
      <c r="D201" s="2" t="str">
        <f>Dummy_Variables!D201</f>
        <v>Residential</v>
      </c>
      <c r="E201" s="7">
        <f>Dummy_Variables!E201</f>
        <v>735786.64</v>
      </c>
      <c r="F201" s="7">
        <f>Dummy_Variables!F201</f>
        <v>61391.8</v>
      </c>
      <c r="G201" s="7">
        <f>Dummy_Variables!G201</f>
        <v>5575</v>
      </c>
      <c r="H201" s="7">
        <f>Dummy_Variables!H201</f>
        <v>0.189</v>
      </c>
      <c r="I201" s="7">
        <f>Dummy_Variables!I201</f>
        <v>18</v>
      </c>
      <c r="J201" s="7">
        <f>Dummy_Variables!J201</f>
        <v>90</v>
      </c>
      <c r="K201" s="2">
        <f>Dummy_Variables!K201</f>
        <v>0</v>
      </c>
      <c r="L201" s="7">
        <f>Dummy_Variables!L201</f>
        <v>4.8</v>
      </c>
      <c r="M201" s="2">
        <f>Dummy_Variables!M201</f>
        <v>0</v>
      </c>
      <c r="N201" s="2">
        <f>Dummy_Variables!N201</f>
        <v>0</v>
      </c>
      <c r="O201" s="2">
        <f>Dummy_Variables!O201</f>
        <v>0</v>
      </c>
      <c r="P201" s="7">
        <f t="shared" si="12"/>
        <v>657322.16719818045</v>
      </c>
      <c r="Q201" s="7">
        <f t="shared" si="13"/>
        <v>78464.47280181956</v>
      </c>
      <c r="R201" s="7">
        <f t="shared" si="14"/>
        <v>78464.47280181956</v>
      </c>
      <c r="S201" s="2" t="str">
        <f t="shared" si="15"/>
        <v>Positive residual - actual above prediction</v>
      </c>
      <c r="T201" s="2"/>
      <c r="U201" s="2"/>
      <c r="V201" s="2"/>
    </row>
    <row r="202" spans="1:22" x14ac:dyDescent="0.35">
      <c r="A202" s="2" t="str">
        <f>Dummy_Variables!A202</f>
        <v>STR-1051</v>
      </c>
      <c r="B202" s="2" t="str">
        <f>Dummy_Variables!B202</f>
        <v>2025-01</v>
      </c>
      <c r="C202" s="2" t="str">
        <f>Dummy_Variables!C202</f>
        <v>East</v>
      </c>
      <c r="D202" s="2" t="str">
        <f>Dummy_Variables!D202</f>
        <v>Airport</v>
      </c>
      <c r="E202" s="7">
        <f>Dummy_Variables!E202</f>
        <v>598904.9</v>
      </c>
      <c r="F202" s="7">
        <f>Dummy_Variables!F202</f>
        <v>22312.93</v>
      </c>
      <c r="G202" s="7">
        <f>Dummy_Variables!G202</f>
        <v>5955</v>
      </c>
      <c r="H202" s="7">
        <f>Dummy_Variables!H202</f>
        <v>0.123</v>
      </c>
      <c r="I202" s="7">
        <f>Dummy_Variables!I202</f>
        <v>13</v>
      </c>
      <c r="J202" s="7">
        <f>Dummy_Variables!J202</f>
        <v>84.2</v>
      </c>
      <c r="K202" s="2">
        <f>Dummy_Variables!K202</f>
        <v>1</v>
      </c>
      <c r="L202" s="7">
        <f>Dummy_Variables!L202</f>
        <v>4.5999999999999996</v>
      </c>
      <c r="M202" s="2">
        <f>Dummy_Variables!M202</f>
        <v>1</v>
      </c>
      <c r="N202" s="2">
        <f>Dummy_Variables!N202</f>
        <v>0</v>
      </c>
      <c r="O202" s="2">
        <f>Dummy_Variables!O202</f>
        <v>0</v>
      </c>
      <c r="P202" s="7">
        <f t="shared" si="12"/>
        <v>644150.87411475147</v>
      </c>
      <c r="Q202" s="7">
        <f t="shared" si="13"/>
        <v>-45245.974114751443</v>
      </c>
      <c r="R202" s="7">
        <f t="shared" si="14"/>
        <v>45245.974114751443</v>
      </c>
      <c r="S202" s="2" t="str">
        <f t="shared" si="15"/>
        <v>Negative residual - actual below prediction</v>
      </c>
      <c r="T202" s="2"/>
      <c r="U202" s="2"/>
      <c r="V202" s="2"/>
    </row>
    <row r="203" spans="1:22" x14ac:dyDescent="0.35">
      <c r="A203" s="2" t="str">
        <f>Dummy_Variables!A203</f>
        <v>STR-1051</v>
      </c>
      <c r="B203" s="2" t="str">
        <f>Dummy_Variables!B203</f>
        <v>2025-02</v>
      </c>
      <c r="C203" s="2" t="str">
        <f>Dummy_Variables!C203</f>
        <v>East</v>
      </c>
      <c r="D203" s="2" t="str">
        <f>Dummy_Variables!D203</f>
        <v>Airport</v>
      </c>
      <c r="E203" s="7">
        <f>Dummy_Variables!E203</f>
        <v>787715.51</v>
      </c>
      <c r="F203" s="7">
        <f>Dummy_Variables!F203</f>
        <v>78111.97</v>
      </c>
      <c r="G203" s="7">
        <f>Dummy_Variables!G203</f>
        <v>6389</v>
      </c>
      <c r="H203" s="7">
        <f>Dummy_Variables!H203</f>
        <v>0.15</v>
      </c>
      <c r="I203" s="7">
        <f>Dummy_Variables!I203</f>
        <v>13</v>
      </c>
      <c r="J203" s="7">
        <f>Dummy_Variables!J203</f>
        <v>83.9</v>
      </c>
      <c r="K203" s="2">
        <f>Dummy_Variables!K203</f>
        <v>0</v>
      </c>
      <c r="L203" s="7">
        <f>Dummy_Variables!L203</f>
        <v>4.8</v>
      </c>
      <c r="M203" s="2">
        <f>Dummy_Variables!M203</f>
        <v>1</v>
      </c>
      <c r="N203" s="2">
        <f>Dummy_Variables!N203</f>
        <v>0</v>
      </c>
      <c r="O203" s="2">
        <f>Dummy_Variables!O203</f>
        <v>0</v>
      </c>
      <c r="P203" s="7">
        <f t="shared" si="12"/>
        <v>709020.38838272728</v>
      </c>
      <c r="Q203" s="7">
        <f t="shared" si="13"/>
        <v>78695.121617272729</v>
      </c>
      <c r="R203" s="7">
        <f t="shared" si="14"/>
        <v>78695.121617272729</v>
      </c>
      <c r="S203" s="2" t="str">
        <f t="shared" si="15"/>
        <v>Positive residual - actual above prediction</v>
      </c>
      <c r="T203" s="2"/>
      <c r="U203" s="2"/>
      <c r="V203" s="2"/>
    </row>
    <row r="204" spans="1:22" x14ac:dyDescent="0.35">
      <c r="A204" s="2" t="str">
        <f>Dummy_Variables!A204</f>
        <v>STR-1051</v>
      </c>
      <c r="B204" s="2" t="str">
        <f>Dummy_Variables!B204</f>
        <v>2025-03</v>
      </c>
      <c r="C204" s="2" t="str">
        <f>Dummy_Variables!C204</f>
        <v>East</v>
      </c>
      <c r="D204" s="2" t="str">
        <f>Dummy_Variables!D204</f>
        <v>Airport</v>
      </c>
      <c r="E204" s="7">
        <f>Dummy_Variables!E204</f>
        <v>607084.92000000004</v>
      </c>
      <c r="F204" s="7">
        <f>Dummy_Variables!F204</f>
        <v>35203.230000000003</v>
      </c>
      <c r="G204" s="7">
        <f>Dummy_Variables!G204</f>
        <v>6896</v>
      </c>
      <c r="H204" s="7">
        <f>Dummy_Variables!H204</f>
        <v>3.2000000000000001E-2</v>
      </c>
      <c r="I204" s="7">
        <f>Dummy_Variables!I204</f>
        <v>14</v>
      </c>
      <c r="J204" s="7">
        <f>Dummy_Variables!J204</f>
        <v>80.8</v>
      </c>
      <c r="K204" s="2">
        <f>Dummy_Variables!K204</f>
        <v>1</v>
      </c>
      <c r="L204" s="7">
        <f>Dummy_Variables!L204</f>
        <v>5</v>
      </c>
      <c r="M204" s="2">
        <f>Dummy_Variables!M204</f>
        <v>1</v>
      </c>
      <c r="N204" s="2">
        <f>Dummy_Variables!N204</f>
        <v>0</v>
      </c>
      <c r="O204" s="2">
        <f>Dummy_Variables!O204</f>
        <v>0</v>
      </c>
      <c r="P204" s="7">
        <f t="shared" si="12"/>
        <v>689511.65320495353</v>
      </c>
      <c r="Q204" s="7">
        <f t="shared" si="13"/>
        <v>-82426.733204953489</v>
      </c>
      <c r="R204" s="7">
        <f t="shared" si="14"/>
        <v>82426.733204953489</v>
      </c>
      <c r="S204" s="2" t="str">
        <f t="shared" si="15"/>
        <v>Negative residual - actual below prediction</v>
      </c>
      <c r="T204" s="2"/>
      <c r="U204" s="2"/>
      <c r="V204" s="2"/>
    </row>
    <row r="205" spans="1:22" x14ac:dyDescent="0.35">
      <c r="A205" s="2" t="str">
        <f>Dummy_Variables!A205</f>
        <v>STR-1051</v>
      </c>
      <c r="B205" s="2" t="str">
        <f>Dummy_Variables!B205</f>
        <v>2025-04</v>
      </c>
      <c r="C205" s="2" t="str">
        <f>Dummy_Variables!C205</f>
        <v>East</v>
      </c>
      <c r="D205" s="2" t="str">
        <f>Dummy_Variables!D205</f>
        <v>Airport</v>
      </c>
      <c r="E205" s="7">
        <f>Dummy_Variables!E205</f>
        <v>650795.49</v>
      </c>
      <c r="F205" s="7">
        <f>Dummy_Variables!F205</f>
        <v>64104.28</v>
      </c>
      <c r="G205" s="7">
        <f>Dummy_Variables!G205</f>
        <v>6015</v>
      </c>
      <c r="H205" s="7">
        <f>Dummy_Variables!H205</f>
        <v>0.127</v>
      </c>
      <c r="I205" s="7">
        <f>Dummy_Variables!I205</f>
        <v>15</v>
      </c>
      <c r="J205" s="7">
        <f>Dummy_Variables!J205</f>
        <v>88.7</v>
      </c>
      <c r="K205" s="2">
        <f>Dummy_Variables!K205</f>
        <v>0</v>
      </c>
      <c r="L205" s="7">
        <f>Dummy_Variables!L205</f>
        <v>4</v>
      </c>
      <c r="M205" s="2">
        <f>Dummy_Variables!M205</f>
        <v>1</v>
      </c>
      <c r="N205" s="2">
        <f>Dummy_Variables!N205</f>
        <v>0</v>
      </c>
      <c r="O205" s="2">
        <f>Dummy_Variables!O205</f>
        <v>0</v>
      </c>
      <c r="P205" s="7">
        <f t="shared" si="12"/>
        <v>693418.33186579845</v>
      </c>
      <c r="Q205" s="7">
        <f t="shared" si="13"/>
        <v>-42622.841865798458</v>
      </c>
      <c r="R205" s="7">
        <f t="shared" si="14"/>
        <v>42622.841865798458</v>
      </c>
      <c r="S205" s="2" t="str">
        <f t="shared" si="15"/>
        <v>Negative residual - actual below prediction</v>
      </c>
      <c r="T205" s="2"/>
      <c r="U205" s="2"/>
      <c r="V205" s="2"/>
    </row>
    <row r="206" spans="1:22" x14ac:dyDescent="0.35">
      <c r="A206" s="2" t="str">
        <f>Dummy_Variables!A206</f>
        <v>STR-1052</v>
      </c>
      <c r="B206" s="2" t="str">
        <f>Dummy_Variables!B206</f>
        <v>2025-01</v>
      </c>
      <c r="C206" s="2" t="str">
        <f>Dummy_Variables!C206</f>
        <v>East</v>
      </c>
      <c r="D206" s="2" t="str">
        <f>Dummy_Variables!D206</f>
        <v>Mall</v>
      </c>
      <c r="E206" s="7">
        <f>Dummy_Variables!E206</f>
        <v>825060.52</v>
      </c>
      <c r="F206" s="7">
        <f>Dummy_Variables!F206</f>
        <v>92090.14</v>
      </c>
      <c r="G206" s="7">
        <f>Dummy_Variables!G206</f>
        <v>9476</v>
      </c>
      <c r="H206" s="7">
        <f>Dummy_Variables!H206</f>
        <v>7.0000000000000007E-2</v>
      </c>
      <c r="I206" s="7">
        <f>Dummy_Variables!I206</f>
        <v>24</v>
      </c>
      <c r="J206" s="7">
        <f>Dummy_Variables!J206</f>
        <v>94.3</v>
      </c>
      <c r="K206" s="2">
        <f>Dummy_Variables!K206</f>
        <v>0</v>
      </c>
      <c r="L206" s="7">
        <f>Dummy_Variables!L206</f>
        <v>3.7</v>
      </c>
      <c r="M206" s="2">
        <f>Dummy_Variables!M206</f>
        <v>0</v>
      </c>
      <c r="N206" s="2">
        <f>Dummy_Variables!N206</f>
        <v>0</v>
      </c>
      <c r="O206" s="2">
        <f>Dummy_Variables!O206</f>
        <v>1</v>
      </c>
      <c r="P206" s="7">
        <f t="shared" si="12"/>
        <v>854038.84015709127</v>
      </c>
      <c r="Q206" s="7">
        <f t="shared" si="13"/>
        <v>-28978.32015709125</v>
      </c>
      <c r="R206" s="7">
        <f t="shared" si="14"/>
        <v>28978.32015709125</v>
      </c>
      <c r="S206" s="2" t="str">
        <f t="shared" si="15"/>
        <v>Negative residual - actual below prediction</v>
      </c>
      <c r="T206" s="2"/>
      <c r="U206" s="2"/>
      <c r="V206" s="2"/>
    </row>
    <row r="207" spans="1:22" x14ac:dyDescent="0.35">
      <c r="A207" s="2" t="str">
        <f>Dummy_Variables!A207</f>
        <v>STR-1052</v>
      </c>
      <c r="B207" s="2" t="str">
        <f>Dummy_Variables!B207</f>
        <v>2025-02</v>
      </c>
      <c r="C207" s="2" t="str">
        <f>Dummy_Variables!C207</f>
        <v>East</v>
      </c>
      <c r="D207" s="2" t="str">
        <f>Dummy_Variables!D207</f>
        <v>Mall</v>
      </c>
      <c r="E207" s="7">
        <f>Dummy_Variables!E207</f>
        <v>795464.47</v>
      </c>
      <c r="F207" s="7">
        <f>Dummy_Variables!F207</f>
        <v>54300.87</v>
      </c>
      <c r="G207" s="7">
        <f>Dummy_Variables!G207</f>
        <v>7875</v>
      </c>
      <c r="H207" s="7">
        <f>Dummy_Variables!H207</f>
        <v>0.107</v>
      </c>
      <c r="I207" s="7">
        <f>Dummy_Variables!I207</f>
        <v>19</v>
      </c>
      <c r="J207" s="7">
        <f>Dummy_Variables!J207</f>
        <v>94.1</v>
      </c>
      <c r="K207" s="2">
        <f>Dummy_Variables!K207</f>
        <v>0</v>
      </c>
      <c r="L207" s="7">
        <f>Dummy_Variables!L207</f>
        <v>3.7</v>
      </c>
      <c r="M207" s="2">
        <f>Dummy_Variables!M207</f>
        <v>0</v>
      </c>
      <c r="N207" s="2">
        <f>Dummy_Variables!N207</f>
        <v>0</v>
      </c>
      <c r="O207" s="2">
        <f>Dummy_Variables!O207</f>
        <v>1</v>
      </c>
      <c r="P207" s="7">
        <f t="shared" si="12"/>
        <v>747703.00563758041</v>
      </c>
      <c r="Q207" s="7">
        <f t="shared" si="13"/>
        <v>47761.46436241956</v>
      </c>
      <c r="R207" s="7">
        <f t="shared" si="14"/>
        <v>47761.46436241956</v>
      </c>
      <c r="S207" s="2" t="str">
        <f t="shared" si="15"/>
        <v>Positive residual - actual above prediction</v>
      </c>
      <c r="T207" s="2"/>
      <c r="U207" s="2"/>
      <c r="V207" s="2"/>
    </row>
    <row r="208" spans="1:22" x14ac:dyDescent="0.35">
      <c r="A208" s="2" t="str">
        <f>Dummy_Variables!A208</f>
        <v>STR-1052</v>
      </c>
      <c r="B208" s="2" t="str">
        <f>Dummy_Variables!B208</f>
        <v>2025-03</v>
      </c>
      <c r="C208" s="2" t="str">
        <f>Dummy_Variables!C208</f>
        <v>East</v>
      </c>
      <c r="D208" s="2" t="str">
        <f>Dummy_Variables!D208</f>
        <v>Mall</v>
      </c>
      <c r="E208" s="7">
        <f>Dummy_Variables!E208</f>
        <v>671868.59</v>
      </c>
      <c r="F208" s="7">
        <f>Dummy_Variables!F208</f>
        <v>37983.35</v>
      </c>
      <c r="G208" s="7">
        <f>Dummy_Variables!G208</f>
        <v>9283</v>
      </c>
      <c r="H208" s="7">
        <f>Dummy_Variables!H208</f>
        <v>0.14899999999999999</v>
      </c>
      <c r="I208" s="7">
        <f>Dummy_Variables!I208</f>
        <v>19</v>
      </c>
      <c r="J208" s="7">
        <f>Dummy_Variables!J208</f>
        <v>83.2</v>
      </c>
      <c r="K208" s="2">
        <f>Dummy_Variables!K208</f>
        <v>0</v>
      </c>
      <c r="L208" s="7">
        <f>Dummy_Variables!L208</f>
        <v>3.7</v>
      </c>
      <c r="M208" s="2">
        <f>Dummy_Variables!M208</f>
        <v>0</v>
      </c>
      <c r="N208" s="2">
        <f>Dummy_Variables!N208</f>
        <v>0</v>
      </c>
      <c r="O208" s="2">
        <f>Dummy_Variables!O208</f>
        <v>1</v>
      </c>
      <c r="P208" s="7">
        <f t="shared" si="12"/>
        <v>733221.21550869325</v>
      </c>
      <c r="Q208" s="7">
        <f t="shared" si="13"/>
        <v>-61352.62550869328</v>
      </c>
      <c r="R208" s="7">
        <f t="shared" si="14"/>
        <v>61352.62550869328</v>
      </c>
      <c r="S208" s="2" t="str">
        <f t="shared" si="15"/>
        <v>Negative residual - actual below prediction</v>
      </c>
      <c r="T208" s="2"/>
      <c r="U208" s="2"/>
      <c r="V208" s="2"/>
    </row>
    <row r="209" spans="1:22" x14ac:dyDescent="0.35">
      <c r="A209" s="2" t="str">
        <f>Dummy_Variables!A209</f>
        <v>STR-1052</v>
      </c>
      <c r="B209" s="2" t="str">
        <f>Dummy_Variables!B209</f>
        <v>2025-04</v>
      </c>
      <c r="C209" s="2" t="str">
        <f>Dummy_Variables!C209</f>
        <v>East</v>
      </c>
      <c r="D209" s="2" t="str">
        <f>Dummy_Variables!D209</f>
        <v>Mall</v>
      </c>
      <c r="E209" s="7">
        <f>Dummy_Variables!E209</f>
        <v>675917.63</v>
      </c>
      <c r="F209" s="7">
        <f>Dummy_Variables!F209</f>
        <v>56413.83</v>
      </c>
      <c r="G209" s="7">
        <f>Dummy_Variables!G209</f>
        <v>8303</v>
      </c>
      <c r="H209" s="7">
        <f>Dummy_Variables!H209</f>
        <v>0.11600000000000001</v>
      </c>
      <c r="I209" s="7">
        <f>Dummy_Variables!I209</f>
        <v>18</v>
      </c>
      <c r="J209" s="7">
        <f>Dummy_Variables!J209</f>
        <v>93.6</v>
      </c>
      <c r="K209" s="2">
        <f>Dummy_Variables!K209</f>
        <v>0</v>
      </c>
      <c r="L209" s="7">
        <f>Dummy_Variables!L209</f>
        <v>3.7</v>
      </c>
      <c r="M209" s="2">
        <f>Dummy_Variables!M209</f>
        <v>0</v>
      </c>
      <c r="N209" s="2">
        <f>Dummy_Variables!N209</f>
        <v>0</v>
      </c>
      <c r="O209" s="2">
        <f>Dummy_Variables!O209</f>
        <v>1</v>
      </c>
      <c r="P209" s="7">
        <f t="shared" si="12"/>
        <v>757387.65922930383</v>
      </c>
      <c r="Q209" s="7">
        <f t="shared" si="13"/>
        <v>-81470.029229303822</v>
      </c>
      <c r="R209" s="7">
        <f t="shared" si="14"/>
        <v>81470.029229303822</v>
      </c>
      <c r="S209" s="2" t="str">
        <f t="shared" si="15"/>
        <v>Negative residual - actual below prediction</v>
      </c>
      <c r="T209" s="2"/>
      <c r="U209" s="2"/>
      <c r="V209" s="2"/>
    </row>
    <row r="210" spans="1:22" x14ac:dyDescent="0.35">
      <c r="A210" s="2" t="str">
        <f>Dummy_Variables!A210</f>
        <v>STR-1053</v>
      </c>
      <c r="B210" s="2" t="str">
        <f>Dummy_Variables!B210</f>
        <v>2025-01</v>
      </c>
      <c r="C210" s="2" t="str">
        <f>Dummy_Variables!C210</f>
        <v>East</v>
      </c>
      <c r="D210" s="2" t="str">
        <f>Dummy_Variables!D210</f>
        <v>High Street</v>
      </c>
      <c r="E210" s="7">
        <f>Dummy_Variables!E210</f>
        <v>810446.53</v>
      </c>
      <c r="F210" s="7">
        <f>Dummy_Variables!F210</f>
        <v>63457.19</v>
      </c>
      <c r="G210" s="7">
        <f>Dummy_Variables!G210</f>
        <v>10125</v>
      </c>
      <c r="H210" s="7">
        <f>Dummy_Variables!H210</f>
        <v>9.7000000000000003E-2</v>
      </c>
      <c r="I210" s="7">
        <f>Dummy_Variables!I210</f>
        <v>24</v>
      </c>
      <c r="J210" s="7">
        <f>Dummy_Variables!J210</f>
        <v>87</v>
      </c>
      <c r="K210" s="2">
        <f>Dummy_Variables!K210</f>
        <v>1</v>
      </c>
      <c r="L210" s="7">
        <f>Dummy_Variables!L210</f>
        <v>3.7</v>
      </c>
      <c r="M210" s="2">
        <f>Dummy_Variables!M210</f>
        <v>0</v>
      </c>
      <c r="N210" s="2">
        <f>Dummy_Variables!N210</f>
        <v>1</v>
      </c>
      <c r="O210" s="2">
        <f>Dummy_Variables!O210</f>
        <v>0</v>
      </c>
      <c r="P210" s="7">
        <f t="shared" si="12"/>
        <v>818471.39406975009</v>
      </c>
      <c r="Q210" s="7">
        <f t="shared" si="13"/>
        <v>-8024.8640697500668</v>
      </c>
      <c r="R210" s="7">
        <f t="shared" si="14"/>
        <v>8024.8640697500668</v>
      </c>
      <c r="S210" s="2" t="str">
        <f t="shared" si="15"/>
        <v>Negative residual - actual below prediction</v>
      </c>
      <c r="T210" s="2"/>
      <c r="U210" s="2"/>
      <c r="V210" s="2"/>
    </row>
    <row r="211" spans="1:22" x14ac:dyDescent="0.35">
      <c r="A211" s="2" t="str">
        <f>Dummy_Variables!A211</f>
        <v>STR-1053</v>
      </c>
      <c r="B211" s="2" t="str">
        <f>Dummy_Variables!B211</f>
        <v>2025-02</v>
      </c>
      <c r="C211" s="2" t="str">
        <f>Dummy_Variables!C211</f>
        <v>East</v>
      </c>
      <c r="D211" s="2" t="str">
        <f>Dummy_Variables!D211</f>
        <v>High Street</v>
      </c>
      <c r="E211" s="7">
        <f>Dummy_Variables!E211</f>
        <v>691288.19</v>
      </c>
      <c r="F211" s="7">
        <f>Dummy_Variables!F211</f>
        <v>62949.7</v>
      </c>
      <c r="G211" s="7">
        <f>Dummy_Variables!G211</f>
        <v>9458</v>
      </c>
      <c r="H211" s="7">
        <f>Dummy_Variables!H211</f>
        <v>0.17100000000000001</v>
      </c>
      <c r="I211" s="7">
        <f>Dummy_Variables!I211</f>
        <v>19</v>
      </c>
      <c r="J211" s="7">
        <f>Dummy_Variables!J211</f>
        <v>84.9</v>
      </c>
      <c r="K211" s="2">
        <f>Dummy_Variables!K211</f>
        <v>0</v>
      </c>
      <c r="L211" s="7">
        <f>Dummy_Variables!L211</f>
        <v>3.3</v>
      </c>
      <c r="M211" s="2">
        <f>Dummy_Variables!M211</f>
        <v>0</v>
      </c>
      <c r="N211" s="2">
        <f>Dummy_Variables!N211</f>
        <v>1</v>
      </c>
      <c r="O211" s="2">
        <f>Dummy_Variables!O211</f>
        <v>0</v>
      </c>
      <c r="P211" s="7">
        <f t="shared" si="12"/>
        <v>756515.89886473177</v>
      </c>
      <c r="Q211" s="7">
        <f t="shared" si="13"/>
        <v>-65227.708864731831</v>
      </c>
      <c r="R211" s="7">
        <f t="shared" si="14"/>
        <v>65227.708864731831</v>
      </c>
      <c r="S211" s="2" t="str">
        <f t="shared" si="15"/>
        <v>Negative residual - actual below prediction</v>
      </c>
      <c r="T211" s="2"/>
      <c r="U211" s="2"/>
      <c r="V211" s="2"/>
    </row>
    <row r="212" spans="1:22" x14ac:dyDescent="0.35">
      <c r="A212" s="2" t="str">
        <f>Dummy_Variables!A212</f>
        <v>STR-1053</v>
      </c>
      <c r="B212" s="2" t="str">
        <f>Dummy_Variables!B212</f>
        <v>2025-03</v>
      </c>
      <c r="C212" s="2" t="str">
        <f>Dummy_Variables!C212</f>
        <v>East</v>
      </c>
      <c r="D212" s="2" t="str">
        <f>Dummy_Variables!D212</f>
        <v>High Street</v>
      </c>
      <c r="E212" s="7">
        <f>Dummy_Variables!E212</f>
        <v>946833.54</v>
      </c>
      <c r="F212" s="7">
        <f>Dummy_Variables!F212</f>
        <v>107970.19</v>
      </c>
      <c r="G212" s="7">
        <f>Dummy_Variables!G212</f>
        <v>12870</v>
      </c>
      <c r="H212" s="7">
        <f>Dummy_Variables!H212</f>
        <v>2.9000000000000001E-2</v>
      </c>
      <c r="I212" s="7">
        <f>Dummy_Variables!I212</f>
        <v>31</v>
      </c>
      <c r="J212" s="7">
        <f>Dummy_Variables!J212</f>
        <v>91.7</v>
      </c>
      <c r="K212" s="2">
        <f>Dummy_Variables!K212</f>
        <v>1</v>
      </c>
      <c r="L212" s="7">
        <f>Dummy_Variables!L212</f>
        <v>3.7</v>
      </c>
      <c r="M212" s="2">
        <f>Dummy_Variables!M212</f>
        <v>0</v>
      </c>
      <c r="N212" s="2">
        <f>Dummy_Variables!N212</f>
        <v>1</v>
      </c>
      <c r="O212" s="2">
        <f>Dummy_Variables!O212</f>
        <v>0</v>
      </c>
      <c r="P212" s="7">
        <f t="shared" si="12"/>
        <v>986334.00715967303</v>
      </c>
      <c r="Q212" s="7">
        <f t="shared" si="13"/>
        <v>-39500.46715967299</v>
      </c>
      <c r="R212" s="7">
        <f t="shared" si="14"/>
        <v>39500.46715967299</v>
      </c>
      <c r="S212" s="2" t="str">
        <f t="shared" si="15"/>
        <v>Negative residual - actual below prediction</v>
      </c>
      <c r="T212" s="2"/>
      <c r="U212" s="2"/>
      <c r="V212" s="2"/>
    </row>
    <row r="213" spans="1:22" x14ac:dyDescent="0.35">
      <c r="A213" s="2" t="str">
        <f>Dummy_Variables!A213</f>
        <v>STR-1053</v>
      </c>
      <c r="B213" s="2" t="str">
        <f>Dummy_Variables!B213</f>
        <v>2025-04</v>
      </c>
      <c r="C213" s="2" t="str">
        <f>Dummy_Variables!C213</f>
        <v>East</v>
      </c>
      <c r="D213" s="2" t="str">
        <f>Dummy_Variables!D213</f>
        <v>High Street</v>
      </c>
      <c r="E213" s="7">
        <f>Dummy_Variables!E213</f>
        <v>761963.23</v>
      </c>
      <c r="F213" s="7">
        <f>Dummy_Variables!F213</f>
        <v>49405.75</v>
      </c>
      <c r="G213" s="7">
        <f>Dummy_Variables!G213</f>
        <v>9752</v>
      </c>
      <c r="H213" s="7">
        <f>Dummy_Variables!H213</f>
        <v>9.2999999999999999E-2</v>
      </c>
      <c r="I213" s="7">
        <f>Dummy_Variables!I213</f>
        <v>21</v>
      </c>
      <c r="J213" s="7">
        <f>Dummy_Variables!J213</f>
        <v>87</v>
      </c>
      <c r="K213" s="2">
        <f>Dummy_Variables!K213</f>
        <v>0</v>
      </c>
      <c r="L213" s="7">
        <f>Dummy_Variables!L213</f>
        <v>4.0999999999999996</v>
      </c>
      <c r="M213" s="2">
        <f>Dummy_Variables!M213</f>
        <v>0</v>
      </c>
      <c r="N213" s="2">
        <f>Dummy_Variables!N213</f>
        <v>1</v>
      </c>
      <c r="O213" s="2">
        <f>Dummy_Variables!O213</f>
        <v>0</v>
      </c>
      <c r="P213" s="7">
        <f t="shared" si="12"/>
        <v>776685.5537762969</v>
      </c>
      <c r="Q213" s="7">
        <f t="shared" si="13"/>
        <v>-14722.323776296922</v>
      </c>
      <c r="R213" s="7">
        <f t="shared" si="14"/>
        <v>14722.323776296922</v>
      </c>
      <c r="S213" s="2" t="str">
        <f t="shared" si="15"/>
        <v>Negative residual - actual below prediction</v>
      </c>
      <c r="T213" s="2"/>
      <c r="U213" s="2"/>
      <c r="V213" s="2"/>
    </row>
    <row r="214" spans="1:22" x14ac:dyDescent="0.35">
      <c r="A214" s="2" t="str">
        <f>Dummy_Variables!A214</f>
        <v>STR-1054</v>
      </c>
      <c r="B214" s="2" t="str">
        <f>Dummy_Variables!B214</f>
        <v>2025-01</v>
      </c>
      <c r="C214" s="2" t="str">
        <f>Dummy_Variables!C214</f>
        <v>West</v>
      </c>
      <c r="D214" s="2" t="str">
        <f>Dummy_Variables!D214</f>
        <v>Residential</v>
      </c>
      <c r="E214" s="7">
        <f>Dummy_Variables!E214</f>
        <v>812152.6</v>
      </c>
      <c r="F214" s="7">
        <f>Dummy_Variables!F214</f>
        <v>50887.46</v>
      </c>
      <c r="G214" s="7">
        <f>Dummy_Variables!G214</f>
        <v>9505</v>
      </c>
      <c r="H214" s="7">
        <f>Dummy_Variables!H214</f>
        <v>9.0999999999999998E-2</v>
      </c>
      <c r="I214" s="7">
        <f>Dummy_Variables!I214</f>
        <v>25</v>
      </c>
      <c r="J214" s="7">
        <f>Dummy_Variables!J214</f>
        <v>89.7</v>
      </c>
      <c r="K214" s="2">
        <f>Dummy_Variables!K214</f>
        <v>0</v>
      </c>
      <c r="L214" s="7">
        <f>Dummy_Variables!L214</f>
        <v>4.3</v>
      </c>
      <c r="M214" s="2">
        <f>Dummy_Variables!M214</f>
        <v>0</v>
      </c>
      <c r="N214" s="2">
        <f>Dummy_Variables!N214</f>
        <v>0</v>
      </c>
      <c r="O214" s="2">
        <f>Dummy_Variables!O214</f>
        <v>0</v>
      </c>
      <c r="P214" s="7">
        <f t="shared" si="12"/>
        <v>775605.32451810548</v>
      </c>
      <c r="Q214" s="7">
        <f t="shared" si="13"/>
        <v>36547.275481894496</v>
      </c>
      <c r="R214" s="7">
        <f t="shared" si="14"/>
        <v>36547.275481894496</v>
      </c>
      <c r="S214" s="2" t="str">
        <f t="shared" si="15"/>
        <v>Positive residual - actual above prediction</v>
      </c>
      <c r="T214" s="2"/>
      <c r="U214" s="2"/>
      <c r="V214" s="2"/>
    </row>
    <row r="215" spans="1:22" x14ac:dyDescent="0.35">
      <c r="A215" s="2" t="str">
        <f>Dummy_Variables!A215</f>
        <v>STR-1054</v>
      </c>
      <c r="B215" s="2" t="str">
        <f>Dummy_Variables!B215</f>
        <v>2025-02</v>
      </c>
      <c r="C215" s="2" t="str">
        <f>Dummy_Variables!C215</f>
        <v>West</v>
      </c>
      <c r="D215" s="2" t="str">
        <f>Dummy_Variables!D215</f>
        <v>Residential</v>
      </c>
      <c r="E215" s="7">
        <f>Dummy_Variables!E215</f>
        <v>804975.5</v>
      </c>
      <c r="F215" s="7">
        <f>Dummy_Variables!F215</f>
        <v>41819.449999999997</v>
      </c>
      <c r="G215" s="7">
        <f>Dummy_Variables!G215</f>
        <v>9412</v>
      </c>
      <c r="H215" s="7">
        <f>Dummy_Variables!H215</f>
        <v>0.15</v>
      </c>
      <c r="I215" s="7">
        <f>Dummy_Variables!I215</f>
        <v>22</v>
      </c>
      <c r="J215" s="7">
        <f>Dummy_Variables!J215</f>
        <v>91</v>
      </c>
      <c r="K215" s="2">
        <f>Dummy_Variables!K215</f>
        <v>0</v>
      </c>
      <c r="L215" s="7">
        <f>Dummy_Variables!L215</f>
        <v>4.2</v>
      </c>
      <c r="M215" s="2">
        <f>Dummy_Variables!M215</f>
        <v>0</v>
      </c>
      <c r="N215" s="2">
        <f>Dummy_Variables!N215</f>
        <v>0</v>
      </c>
      <c r="O215" s="2">
        <f>Dummy_Variables!O215</f>
        <v>0</v>
      </c>
      <c r="P215" s="7">
        <f t="shared" si="12"/>
        <v>752769.20048908622</v>
      </c>
      <c r="Q215" s="7">
        <f t="shared" si="13"/>
        <v>52206.299510913785</v>
      </c>
      <c r="R215" s="7">
        <f t="shared" si="14"/>
        <v>52206.299510913785</v>
      </c>
      <c r="S215" s="2" t="str">
        <f t="shared" si="15"/>
        <v>Positive residual - actual above prediction</v>
      </c>
      <c r="T215" s="2"/>
      <c r="U215" s="2"/>
      <c r="V215" s="2"/>
    </row>
    <row r="216" spans="1:22" x14ac:dyDescent="0.35">
      <c r="A216" s="2" t="str">
        <f>Dummy_Variables!A216</f>
        <v>STR-1054</v>
      </c>
      <c r="B216" s="2" t="str">
        <f>Dummy_Variables!B216</f>
        <v>2025-03</v>
      </c>
      <c r="C216" s="2" t="str">
        <f>Dummy_Variables!C216</f>
        <v>West</v>
      </c>
      <c r="D216" s="2" t="str">
        <f>Dummy_Variables!D216</f>
        <v>Residential</v>
      </c>
      <c r="E216" s="7">
        <f>Dummy_Variables!E216</f>
        <v>752321.72</v>
      </c>
      <c r="F216" s="7">
        <f>Dummy_Variables!F216</f>
        <v>35296.54</v>
      </c>
      <c r="G216" s="7">
        <f>Dummy_Variables!G216</f>
        <v>9644</v>
      </c>
      <c r="H216" s="7">
        <f>Dummy_Variables!H216</f>
        <v>0</v>
      </c>
      <c r="I216" s="7">
        <f>Dummy_Variables!I216</f>
        <v>22</v>
      </c>
      <c r="J216" s="7">
        <f>Dummy_Variables!J216</f>
        <v>88</v>
      </c>
      <c r="K216" s="2">
        <f>Dummy_Variables!K216</f>
        <v>0</v>
      </c>
      <c r="L216" s="7">
        <f>Dummy_Variables!L216</f>
        <v>4.7</v>
      </c>
      <c r="M216" s="2">
        <f>Dummy_Variables!M216</f>
        <v>0</v>
      </c>
      <c r="N216" s="2">
        <f>Dummy_Variables!N216</f>
        <v>0</v>
      </c>
      <c r="O216" s="2">
        <f>Dummy_Variables!O216</f>
        <v>0</v>
      </c>
      <c r="P216" s="7">
        <f t="shared" si="12"/>
        <v>759069.23075019487</v>
      </c>
      <c r="Q216" s="7">
        <f t="shared" si="13"/>
        <v>-6747.5107501948951</v>
      </c>
      <c r="R216" s="7">
        <f t="shared" si="14"/>
        <v>6747.5107501948951</v>
      </c>
      <c r="S216" s="2" t="str">
        <f t="shared" si="15"/>
        <v>Negative residual - actual below prediction</v>
      </c>
      <c r="T216" s="2"/>
      <c r="U216" s="2"/>
      <c r="V216" s="2"/>
    </row>
    <row r="217" spans="1:22" x14ac:dyDescent="0.35">
      <c r="A217" s="2" t="str">
        <f>Dummy_Variables!A217</f>
        <v>STR-1054</v>
      </c>
      <c r="B217" s="2" t="str">
        <f>Dummy_Variables!B217</f>
        <v>2025-04</v>
      </c>
      <c r="C217" s="2" t="str">
        <f>Dummy_Variables!C217</f>
        <v>West</v>
      </c>
      <c r="D217" s="2" t="str">
        <f>Dummy_Variables!D217</f>
        <v>Residential</v>
      </c>
      <c r="E217" s="7">
        <f>Dummy_Variables!E217</f>
        <v>836908.24</v>
      </c>
      <c r="F217" s="7">
        <f>Dummy_Variables!F217</f>
        <v>47391.09</v>
      </c>
      <c r="G217" s="7">
        <f>Dummy_Variables!G217</f>
        <v>11224</v>
      </c>
      <c r="H217" s="7">
        <f>Dummy_Variables!H217</f>
        <v>0.14699999999999999</v>
      </c>
      <c r="I217" s="7">
        <f>Dummy_Variables!I217</f>
        <v>25</v>
      </c>
      <c r="J217" s="7">
        <f>Dummy_Variables!J217</f>
        <v>88.4</v>
      </c>
      <c r="K217" s="2">
        <f>Dummy_Variables!K217</f>
        <v>0</v>
      </c>
      <c r="L217" s="7">
        <f>Dummy_Variables!L217</f>
        <v>4.9000000000000004</v>
      </c>
      <c r="M217" s="2">
        <f>Dummy_Variables!M217</f>
        <v>0</v>
      </c>
      <c r="N217" s="2">
        <f>Dummy_Variables!N217</f>
        <v>0</v>
      </c>
      <c r="O217" s="2">
        <f>Dummy_Variables!O217</f>
        <v>0</v>
      </c>
      <c r="P217" s="7">
        <f t="shared" si="12"/>
        <v>820628.58471257845</v>
      </c>
      <c r="Q217" s="7">
        <f t="shared" si="13"/>
        <v>16279.655287421541</v>
      </c>
      <c r="R217" s="7">
        <f t="shared" si="14"/>
        <v>16279.655287421541</v>
      </c>
      <c r="S217" s="2" t="str">
        <f t="shared" si="15"/>
        <v>Positive residual - actual above prediction</v>
      </c>
      <c r="T217" s="2"/>
      <c r="U217" s="2"/>
      <c r="V217" s="2"/>
    </row>
    <row r="218" spans="1:22" x14ac:dyDescent="0.35">
      <c r="A218" s="2" t="str">
        <f>Dummy_Variables!A218</f>
        <v>STR-1055</v>
      </c>
      <c r="B218" s="2" t="str">
        <f>Dummy_Variables!B218</f>
        <v>2025-01</v>
      </c>
      <c r="C218" s="2" t="str">
        <f>Dummy_Variables!C218</f>
        <v>North</v>
      </c>
      <c r="D218" s="2" t="str">
        <f>Dummy_Variables!D218</f>
        <v>Airport</v>
      </c>
      <c r="E218" s="7">
        <f>Dummy_Variables!E218</f>
        <v>674289.1</v>
      </c>
      <c r="F218" s="7">
        <f>Dummy_Variables!F218</f>
        <v>69180.539999999994</v>
      </c>
      <c r="G218" s="7">
        <f>Dummy_Variables!G218</f>
        <v>5394</v>
      </c>
      <c r="H218" s="7">
        <f>Dummy_Variables!H218</f>
        <v>0.126</v>
      </c>
      <c r="I218" s="7">
        <f>Dummy_Variables!I218</f>
        <v>12</v>
      </c>
      <c r="J218" s="7">
        <f>Dummy_Variables!J218</f>
        <v>82.9</v>
      </c>
      <c r="K218" s="2">
        <f>Dummy_Variables!K218</f>
        <v>0</v>
      </c>
      <c r="L218" s="7">
        <f>Dummy_Variables!L218</f>
        <v>3.3</v>
      </c>
      <c r="M218" s="2">
        <f>Dummy_Variables!M218</f>
        <v>1</v>
      </c>
      <c r="N218" s="2">
        <f>Dummy_Variables!N218</f>
        <v>0</v>
      </c>
      <c r="O218" s="2">
        <f>Dummy_Variables!O218</f>
        <v>0</v>
      </c>
      <c r="P218" s="7">
        <f t="shared" si="12"/>
        <v>646641.68892428139</v>
      </c>
      <c r="Q218" s="7">
        <f t="shared" si="13"/>
        <v>27647.411075718584</v>
      </c>
      <c r="R218" s="7">
        <f t="shared" si="14"/>
        <v>27647.411075718584</v>
      </c>
      <c r="S218" s="2" t="str">
        <f t="shared" si="15"/>
        <v>Positive residual - actual above prediction</v>
      </c>
      <c r="T218" s="2"/>
      <c r="U218" s="2"/>
      <c r="V218" s="2"/>
    </row>
    <row r="219" spans="1:22" x14ac:dyDescent="0.35">
      <c r="A219" s="2" t="str">
        <f>Dummy_Variables!A219</f>
        <v>STR-1055</v>
      </c>
      <c r="B219" s="2" t="str">
        <f>Dummy_Variables!B219</f>
        <v>2025-02</v>
      </c>
      <c r="C219" s="2" t="str">
        <f>Dummy_Variables!C219</f>
        <v>North</v>
      </c>
      <c r="D219" s="2" t="str">
        <f>Dummy_Variables!D219</f>
        <v>Airport</v>
      </c>
      <c r="E219" s="7">
        <f>Dummy_Variables!E219</f>
        <v>622892.42000000004</v>
      </c>
      <c r="F219" s="7">
        <f>Dummy_Variables!F219</f>
        <v>33987.33</v>
      </c>
      <c r="G219" s="7">
        <f>Dummy_Variables!G219</f>
        <v>5014</v>
      </c>
      <c r="H219" s="7">
        <f>Dummy_Variables!H219</f>
        <v>0.246</v>
      </c>
      <c r="I219" s="7">
        <f>Dummy_Variables!I219</f>
        <v>17</v>
      </c>
      <c r="J219" s="7">
        <f>Dummy_Variables!J219</f>
        <v>94.3</v>
      </c>
      <c r="K219" s="2">
        <f>Dummy_Variables!K219</f>
        <v>0</v>
      </c>
      <c r="L219" s="7">
        <f>Dummy_Variables!L219</f>
        <v>3.9</v>
      </c>
      <c r="M219" s="2">
        <f>Dummy_Variables!M219</f>
        <v>1</v>
      </c>
      <c r="N219" s="2">
        <f>Dummy_Variables!N219</f>
        <v>0</v>
      </c>
      <c r="O219" s="2">
        <f>Dummy_Variables!O219</f>
        <v>0</v>
      </c>
      <c r="P219" s="7">
        <f t="shared" si="12"/>
        <v>643609.93892209046</v>
      </c>
      <c r="Q219" s="7">
        <f t="shared" si="13"/>
        <v>-20717.518922090414</v>
      </c>
      <c r="R219" s="7">
        <f t="shared" si="14"/>
        <v>20717.518922090414</v>
      </c>
      <c r="S219" s="2" t="str">
        <f t="shared" si="15"/>
        <v>Negative residual - actual below prediction</v>
      </c>
      <c r="T219" s="2"/>
      <c r="U219" s="2"/>
      <c r="V219" s="2"/>
    </row>
    <row r="220" spans="1:22" x14ac:dyDescent="0.35">
      <c r="A220" s="2" t="str">
        <f>Dummy_Variables!A220</f>
        <v>STR-1055</v>
      </c>
      <c r="B220" s="2" t="str">
        <f>Dummy_Variables!B220</f>
        <v>2025-03</v>
      </c>
      <c r="C220" s="2" t="str">
        <f>Dummy_Variables!C220</f>
        <v>North</v>
      </c>
      <c r="D220" s="2" t="str">
        <f>Dummy_Variables!D220</f>
        <v>Airport</v>
      </c>
      <c r="E220" s="7">
        <f>Dummy_Variables!E220</f>
        <v>673348.56</v>
      </c>
      <c r="F220" s="7">
        <f>Dummy_Variables!F220</f>
        <v>58785.33</v>
      </c>
      <c r="G220" s="7">
        <f>Dummy_Variables!G220</f>
        <v>4467</v>
      </c>
      <c r="H220" s="7">
        <f>Dummy_Variables!H220</f>
        <v>0.22900000000000001</v>
      </c>
      <c r="I220" s="7">
        <f>Dummy_Variables!I220</f>
        <v>14</v>
      </c>
      <c r="J220" s="7">
        <f>Dummy_Variables!J220</f>
        <v>90.7</v>
      </c>
      <c r="K220" s="2">
        <f>Dummy_Variables!K220</f>
        <v>0</v>
      </c>
      <c r="L220" s="7">
        <f>Dummy_Variables!L220</f>
        <v>3.7</v>
      </c>
      <c r="M220" s="2">
        <f>Dummy_Variables!M220</f>
        <v>1</v>
      </c>
      <c r="N220" s="2">
        <f>Dummy_Variables!N220</f>
        <v>0</v>
      </c>
      <c r="O220" s="2">
        <f>Dummy_Variables!O220</f>
        <v>0</v>
      </c>
      <c r="P220" s="7">
        <f t="shared" si="12"/>
        <v>635926.1780698098</v>
      </c>
      <c r="Q220" s="7">
        <f t="shared" si="13"/>
        <v>37422.381930190255</v>
      </c>
      <c r="R220" s="7">
        <f t="shared" si="14"/>
        <v>37422.381930190255</v>
      </c>
      <c r="S220" s="2" t="str">
        <f t="shared" si="15"/>
        <v>Positive residual - actual above prediction</v>
      </c>
      <c r="T220" s="2"/>
      <c r="U220" s="2"/>
      <c r="V220" s="2"/>
    </row>
    <row r="221" spans="1:22" x14ac:dyDescent="0.35">
      <c r="A221" s="2" t="str">
        <f>Dummy_Variables!A221</f>
        <v>STR-1055</v>
      </c>
      <c r="B221" s="2" t="str">
        <f>Dummy_Variables!B221</f>
        <v>2025-04</v>
      </c>
      <c r="C221" s="2" t="str">
        <f>Dummy_Variables!C221</f>
        <v>North</v>
      </c>
      <c r="D221" s="2" t="str">
        <f>Dummy_Variables!D221</f>
        <v>Airport</v>
      </c>
      <c r="E221" s="7">
        <f>Dummy_Variables!E221</f>
        <v>606278.30000000005</v>
      </c>
      <c r="F221" s="7">
        <f>Dummy_Variables!F221</f>
        <v>16451.849999999999</v>
      </c>
      <c r="G221" s="7">
        <f>Dummy_Variables!G221</f>
        <v>4678</v>
      </c>
      <c r="H221" s="7">
        <f>Dummy_Variables!H221</f>
        <v>0.13300000000000001</v>
      </c>
      <c r="I221" s="7">
        <f>Dummy_Variables!I221</f>
        <v>11</v>
      </c>
      <c r="J221" s="7">
        <f>Dummy_Variables!J221</f>
        <v>95.9</v>
      </c>
      <c r="K221" s="2">
        <f>Dummy_Variables!K221</f>
        <v>0</v>
      </c>
      <c r="L221" s="7">
        <f>Dummy_Variables!L221</f>
        <v>3.9</v>
      </c>
      <c r="M221" s="2">
        <f>Dummy_Variables!M221</f>
        <v>1</v>
      </c>
      <c r="N221" s="2">
        <f>Dummy_Variables!N221</f>
        <v>0</v>
      </c>
      <c r="O221" s="2">
        <f>Dummy_Variables!O221</f>
        <v>0</v>
      </c>
      <c r="P221" s="7">
        <f t="shared" si="12"/>
        <v>609043.73161137942</v>
      </c>
      <c r="Q221" s="7">
        <f t="shared" si="13"/>
        <v>-2765.4316113793757</v>
      </c>
      <c r="R221" s="7">
        <f t="shared" si="14"/>
        <v>2765.4316113793757</v>
      </c>
      <c r="S221" s="2" t="str">
        <f t="shared" si="15"/>
        <v>Negative residual - actual below prediction</v>
      </c>
      <c r="T221" s="2"/>
      <c r="U221" s="2"/>
      <c r="V221" s="2"/>
    </row>
    <row r="222" spans="1:22" x14ac:dyDescent="0.35">
      <c r="A222" s="2" t="str">
        <f>Dummy_Variables!A222</f>
        <v>STR-1056</v>
      </c>
      <c r="B222" s="2" t="str">
        <f>Dummy_Variables!B222</f>
        <v>2025-01</v>
      </c>
      <c r="C222" s="2" t="str">
        <f>Dummy_Variables!C222</f>
        <v>East</v>
      </c>
      <c r="D222" s="2" t="str">
        <f>Dummy_Variables!D222</f>
        <v>High Street</v>
      </c>
      <c r="E222" s="7">
        <f>Dummy_Variables!E222</f>
        <v>712219.81</v>
      </c>
      <c r="F222" s="7">
        <f>Dummy_Variables!F222</f>
        <v>53367.73</v>
      </c>
      <c r="G222" s="7">
        <f>Dummy_Variables!G222</f>
        <v>7291</v>
      </c>
      <c r="H222" s="7">
        <f>Dummy_Variables!H222</f>
        <v>0.14599999999999999</v>
      </c>
      <c r="I222" s="7">
        <f>Dummy_Variables!I222</f>
        <v>18</v>
      </c>
      <c r="J222" s="7">
        <f>Dummy_Variables!J222</f>
        <v>90.6</v>
      </c>
      <c r="K222" s="2">
        <f>Dummy_Variables!K222</f>
        <v>1</v>
      </c>
      <c r="L222" s="7">
        <f>Dummy_Variables!L222</f>
        <v>3.8</v>
      </c>
      <c r="M222" s="2">
        <f>Dummy_Variables!M222</f>
        <v>0</v>
      </c>
      <c r="N222" s="2">
        <f>Dummy_Variables!N222</f>
        <v>1</v>
      </c>
      <c r="O222" s="2">
        <f>Dummy_Variables!O222</f>
        <v>0</v>
      </c>
      <c r="P222" s="7">
        <f t="shared" si="12"/>
        <v>718289.12628531351</v>
      </c>
      <c r="Q222" s="7">
        <f t="shared" si="13"/>
        <v>-6069.3162853134563</v>
      </c>
      <c r="R222" s="7">
        <f t="shared" si="14"/>
        <v>6069.3162853134563</v>
      </c>
      <c r="S222" s="2" t="str">
        <f t="shared" si="15"/>
        <v>Negative residual - actual below prediction</v>
      </c>
      <c r="T222" s="2"/>
      <c r="U222" s="2"/>
      <c r="V222" s="2"/>
    </row>
    <row r="223" spans="1:22" x14ac:dyDescent="0.35">
      <c r="A223" s="2" t="str">
        <f>Dummy_Variables!A223</f>
        <v>STR-1056</v>
      </c>
      <c r="B223" s="2" t="str">
        <f>Dummy_Variables!B223</f>
        <v>2025-02</v>
      </c>
      <c r="C223" s="2" t="str">
        <f>Dummy_Variables!C223</f>
        <v>East</v>
      </c>
      <c r="D223" s="2" t="str">
        <f>Dummy_Variables!D223</f>
        <v>High Street</v>
      </c>
      <c r="E223" s="7">
        <f>Dummy_Variables!E223</f>
        <v>672670.54</v>
      </c>
      <c r="F223" s="7">
        <f>Dummy_Variables!F223</f>
        <v>27194.639999999999</v>
      </c>
      <c r="G223" s="7">
        <f>Dummy_Variables!G223</f>
        <v>7404</v>
      </c>
      <c r="H223" s="7">
        <f>Dummy_Variables!H223</f>
        <v>8.7999999999999995E-2</v>
      </c>
      <c r="I223" s="7">
        <f>Dummy_Variables!I223</f>
        <v>18</v>
      </c>
      <c r="J223" s="7">
        <f>Dummy_Variables!J223</f>
        <v>90.2</v>
      </c>
      <c r="K223" s="2">
        <f>Dummy_Variables!K223</f>
        <v>0</v>
      </c>
      <c r="L223" s="7">
        <f>Dummy_Variables!L223</f>
        <v>3.4</v>
      </c>
      <c r="M223" s="2">
        <f>Dummy_Variables!M223</f>
        <v>0</v>
      </c>
      <c r="N223" s="2">
        <f>Dummy_Variables!N223</f>
        <v>1</v>
      </c>
      <c r="O223" s="2">
        <f>Dummy_Variables!O223</f>
        <v>0</v>
      </c>
      <c r="P223" s="7">
        <f t="shared" si="12"/>
        <v>676684.72842369764</v>
      </c>
      <c r="Q223" s="7">
        <f t="shared" si="13"/>
        <v>-4014.1884236976039</v>
      </c>
      <c r="R223" s="7">
        <f t="shared" si="14"/>
        <v>4014.1884236976039</v>
      </c>
      <c r="S223" s="2" t="str">
        <f t="shared" si="15"/>
        <v>Negative residual - actual below prediction</v>
      </c>
      <c r="T223" s="2"/>
      <c r="U223" s="2"/>
      <c r="V223" s="2"/>
    </row>
    <row r="224" spans="1:22" x14ac:dyDescent="0.35">
      <c r="A224" s="2" t="str">
        <f>Dummy_Variables!A224</f>
        <v>STR-1056</v>
      </c>
      <c r="B224" s="2" t="str">
        <f>Dummy_Variables!B224</f>
        <v>2025-03</v>
      </c>
      <c r="C224" s="2" t="str">
        <f>Dummy_Variables!C224</f>
        <v>East</v>
      </c>
      <c r="D224" s="2" t="str">
        <f>Dummy_Variables!D224</f>
        <v>High Street</v>
      </c>
      <c r="E224" s="7">
        <f>Dummy_Variables!E224</f>
        <v>732667.92</v>
      </c>
      <c r="F224" s="7">
        <f>Dummy_Variables!F224</f>
        <v>66962.740000000005</v>
      </c>
      <c r="G224" s="7">
        <f>Dummy_Variables!G224</f>
        <v>7880</v>
      </c>
      <c r="H224" s="7">
        <f>Dummy_Variables!H224</f>
        <v>0.11600000000000001</v>
      </c>
      <c r="I224" s="7">
        <f>Dummy_Variables!I224</f>
        <v>19</v>
      </c>
      <c r="J224" s="7">
        <f>Dummy_Variables!J224</f>
        <v>90.4</v>
      </c>
      <c r="K224" s="2">
        <f>Dummy_Variables!K224</f>
        <v>0</v>
      </c>
      <c r="L224" s="7">
        <f>Dummy_Variables!L224</f>
        <v>3.3</v>
      </c>
      <c r="M224" s="2">
        <f>Dummy_Variables!M224</f>
        <v>0</v>
      </c>
      <c r="N224" s="2">
        <f>Dummy_Variables!N224</f>
        <v>1</v>
      </c>
      <c r="O224" s="2">
        <f>Dummy_Variables!O224</f>
        <v>0</v>
      </c>
      <c r="P224" s="7">
        <f t="shared" si="12"/>
        <v>736500.16135198076</v>
      </c>
      <c r="Q224" s="7">
        <f t="shared" si="13"/>
        <v>-3832.241351980716</v>
      </c>
      <c r="R224" s="7">
        <f t="shared" si="14"/>
        <v>3832.241351980716</v>
      </c>
      <c r="S224" s="2" t="str">
        <f t="shared" si="15"/>
        <v>Negative residual - actual below prediction</v>
      </c>
      <c r="T224" s="2"/>
      <c r="U224" s="2"/>
      <c r="V224" s="2"/>
    </row>
    <row r="225" spans="1:22" x14ac:dyDescent="0.35">
      <c r="A225" s="2" t="str">
        <f>Dummy_Variables!A225</f>
        <v>STR-1056</v>
      </c>
      <c r="B225" s="2" t="str">
        <f>Dummy_Variables!B225</f>
        <v>2025-04</v>
      </c>
      <c r="C225" s="2" t="str">
        <f>Dummy_Variables!C225</f>
        <v>East</v>
      </c>
      <c r="D225" s="2" t="str">
        <f>Dummy_Variables!D225</f>
        <v>High Street</v>
      </c>
      <c r="E225" s="7">
        <f>Dummy_Variables!E225</f>
        <v>723531.4</v>
      </c>
      <c r="F225" s="7">
        <f>Dummy_Variables!F225</f>
        <v>73540.990000000005</v>
      </c>
      <c r="G225" s="7">
        <f>Dummy_Variables!G225</f>
        <v>8773</v>
      </c>
      <c r="H225" s="7">
        <f>Dummy_Variables!H225</f>
        <v>3.5000000000000003E-2</v>
      </c>
      <c r="I225" s="7">
        <f>Dummy_Variables!I225</f>
        <v>21</v>
      </c>
      <c r="J225" s="7">
        <f>Dummy_Variables!J225</f>
        <v>84.4</v>
      </c>
      <c r="K225" s="2">
        <f>Dummy_Variables!K225</f>
        <v>0</v>
      </c>
      <c r="L225" s="7">
        <f>Dummy_Variables!L225</f>
        <v>3.6</v>
      </c>
      <c r="M225" s="2">
        <f>Dummy_Variables!M225</f>
        <v>0</v>
      </c>
      <c r="N225" s="2">
        <f>Dummy_Variables!N225</f>
        <v>1</v>
      </c>
      <c r="O225" s="2">
        <f>Dummy_Variables!O225</f>
        <v>0</v>
      </c>
      <c r="P225" s="7">
        <f t="shared" si="12"/>
        <v>766226.45231903833</v>
      </c>
      <c r="Q225" s="7">
        <f t="shared" si="13"/>
        <v>-42695.05231903831</v>
      </c>
      <c r="R225" s="7">
        <f t="shared" si="14"/>
        <v>42695.05231903831</v>
      </c>
      <c r="S225" s="2" t="str">
        <f t="shared" si="15"/>
        <v>Negative residual - actual below prediction</v>
      </c>
      <c r="T225" s="2"/>
      <c r="U225" s="2"/>
      <c r="V225" s="2"/>
    </row>
    <row r="226" spans="1:22" x14ac:dyDescent="0.35">
      <c r="A226" s="2" t="str">
        <f>Dummy_Variables!A226</f>
        <v>STR-1057</v>
      </c>
      <c r="B226" s="2" t="str">
        <f>Dummy_Variables!B226</f>
        <v>2025-01</v>
      </c>
      <c r="C226" s="2" t="str">
        <f>Dummy_Variables!C226</f>
        <v>East</v>
      </c>
      <c r="D226" s="2" t="str">
        <f>Dummy_Variables!D226</f>
        <v>Mall</v>
      </c>
      <c r="E226" s="7">
        <f>Dummy_Variables!E226</f>
        <v>641564.6</v>
      </c>
      <c r="F226" s="7">
        <f>Dummy_Variables!F226</f>
        <v>68212.289999999994</v>
      </c>
      <c r="G226" s="7">
        <f>Dummy_Variables!G226</f>
        <v>4713</v>
      </c>
      <c r="H226" s="7">
        <f>Dummy_Variables!H226</f>
        <v>0.19800000000000001</v>
      </c>
      <c r="I226" s="7">
        <f>Dummy_Variables!I226</f>
        <v>15</v>
      </c>
      <c r="J226" s="7">
        <f>Dummy_Variables!J226</f>
        <v>82.6</v>
      </c>
      <c r="K226" s="2">
        <f>Dummy_Variables!K226</f>
        <v>1</v>
      </c>
      <c r="L226" s="7">
        <f>Dummy_Variables!L226</f>
        <v>3</v>
      </c>
      <c r="M226" s="2">
        <f>Dummy_Variables!M226</f>
        <v>0</v>
      </c>
      <c r="N226" s="2">
        <f>Dummy_Variables!N226</f>
        <v>0</v>
      </c>
      <c r="O226" s="2">
        <f>Dummy_Variables!O226</f>
        <v>1</v>
      </c>
      <c r="P226" s="7">
        <f t="shared" si="12"/>
        <v>624846.62550577731</v>
      </c>
      <c r="Q226" s="7">
        <f t="shared" si="13"/>
        <v>16717.974494222668</v>
      </c>
      <c r="R226" s="7">
        <f t="shared" si="14"/>
        <v>16717.974494222668</v>
      </c>
      <c r="S226" s="2" t="str">
        <f t="shared" si="15"/>
        <v>Positive residual - actual above prediction</v>
      </c>
      <c r="T226" s="2"/>
      <c r="U226" s="2"/>
      <c r="V226" s="2"/>
    </row>
    <row r="227" spans="1:22" x14ac:dyDescent="0.35">
      <c r="A227" s="2" t="str">
        <f>Dummy_Variables!A227</f>
        <v>STR-1057</v>
      </c>
      <c r="B227" s="2" t="str">
        <f>Dummy_Variables!B227</f>
        <v>2025-02</v>
      </c>
      <c r="C227" s="2" t="str">
        <f>Dummy_Variables!C227</f>
        <v>East</v>
      </c>
      <c r="D227" s="2" t="str">
        <f>Dummy_Variables!D227</f>
        <v>Mall</v>
      </c>
      <c r="E227" s="7">
        <f>Dummy_Variables!E227</f>
        <v>536545.49</v>
      </c>
      <c r="F227" s="7">
        <f>Dummy_Variables!F227</f>
        <v>57225.98</v>
      </c>
      <c r="G227" s="7">
        <f>Dummy_Variables!G227</f>
        <v>2842</v>
      </c>
      <c r="H227" s="7">
        <f>Dummy_Variables!H227</f>
        <v>0.112</v>
      </c>
      <c r="I227" s="7">
        <f>Dummy_Variables!I227</f>
        <v>10</v>
      </c>
      <c r="J227" s="7">
        <f>Dummy_Variables!J227</f>
        <v>79.5</v>
      </c>
      <c r="K227" s="2">
        <f>Dummy_Variables!K227</f>
        <v>0</v>
      </c>
      <c r="L227" s="7">
        <f>Dummy_Variables!L227</f>
        <v>3.4</v>
      </c>
      <c r="M227" s="2">
        <f>Dummy_Variables!M227</f>
        <v>0</v>
      </c>
      <c r="N227" s="2">
        <f>Dummy_Variables!N227</f>
        <v>0</v>
      </c>
      <c r="O227" s="2">
        <f>Dummy_Variables!O227</f>
        <v>1</v>
      </c>
      <c r="P227" s="7">
        <f t="shared" si="12"/>
        <v>534399.85532093747</v>
      </c>
      <c r="Q227" s="7">
        <f t="shared" si="13"/>
        <v>2145.6346790625248</v>
      </c>
      <c r="R227" s="7">
        <f t="shared" si="14"/>
        <v>2145.6346790625248</v>
      </c>
      <c r="S227" s="2" t="str">
        <f t="shared" si="15"/>
        <v>Positive residual - actual above prediction</v>
      </c>
      <c r="T227" s="2"/>
      <c r="U227" s="2"/>
      <c r="V227" s="2"/>
    </row>
    <row r="228" spans="1:22" x14ac:dyDescent="0.35">
      <c r="A228" s="2" t="str">
        <f>Dummy_Variables!A228</f>
        <v>STR-1057</v>
      </c>
      <c r="B228" s="2" t="str">
        <f>Dummy_Variables!B228</f>
        <v>2025-03</v>
      </c>
      <c r="C228" s="2" t="str">
        <f>Dummy_Variables!C228</f>
        <v>East</v>
      </c>
      <c r="D228" s="2" t="str">
        <f>Dummy_Variables!D228</f>
        <v>Mall</v>
      </c>
      <c r="E228" s="7">
        <f>Dummy_Variables!E228</f>
        <v>527681.56000000006</v>
      </c>
      <c r="F228" s="7">
        <f>Dummy_Variables!F228</f>
        <v>42932.02</v>
      </c>
      <c r="G228" s="7">
        <f>Dummy_Variables!G228</f>
        <v>3872</v>
      </c>
      <c r="H228" s="7">
        <f>Dummy_Variables!H228</f>
        <v>0.17100000000000001</v>
      </c>
      <c r="I228" s="7">
        <f>Dummy_Variables!I228</f>
        <v>12</v>
      </c>
      <c r="J228" s="7">
        <f>Dummy_Variables!J228</f>
        <v>83.2</v>
      </c>
      <c r="K228" s="2">
        <f>Dummy_Variables!K228</f>
        <v>0</v>
      </c>
      <c r="L228" s="7">
        <f>Dummy_Variables!L228</f>
        <v>3.3</v>
      </c>
      <c r="M228" s="2">
        <f>Dummy_Variables!M228</f>
        <v>0</v>
      </c>
      <c r="N228" s="2">
        <f>Dummy_Variables!N228</f>
        <v>0</v>
      </c>
      <c r="O228" s="2">
        <f>Dummy_Variables!O228</f>
        <v>1</v>
      </c>
      <c r="P228" s="7">
        <f t="shared" si="12"/>
        <v>558788.41060521477</v>
      </c>
      <c r="Q228" s="7">
        <f t="shared" si="13"/>
        <v>-31106.850605214713</v>
      </c>
      <c r="R228" s="7">
        <f t="shared" si="14"/>
        <v>31106.850605214713</v>
      </c>
      <c r="S228" s="2" t="str">
        <f t="shared" si="15"/>
        <v>Negative residual - actual below prediction</v>
      </c>
      <c r="T228" s="2"/>
      <c r="U228" s="2"/>
      <c r="V228" s="2"/>
    </row>
    <row r="229" spans="1:22" x14ac:dyDescent="0.35">
      <c r="A229" s="2" t="str">
        <f>Dummy_Variables!A229</f>
        <v>STR-1057</v>
      </c>
      <c r="B229" s="2" t="str">
        <f>Dummy_Variables!B229</f>
        <v>2025-04</v>
      </c>
      <c r="C229" s="2" t="str">
        <f>Dummy_Variables!C229</f>
        <v>East</v>
      </c>
      <c r="D229" s="2" t="str">
        <f>Dummy_Variables!D229</f>
        <v>Mall</v>
      </c>
      <c r="E229" s="7">
        <f>Dummy_Variables!E229</f>
        <v>529598.93999999994</v>
      </c>
      <c r="F229" s="7">
        <f>Dummy_Variables!F229</f>
        <v>39341.449999999997</v>
      </c>
      <c r="G229" s="7">
        <f>Dummy_Variables!G229</f>
        <v>1375</v>
      </c>
      <c r="H229" s="7">
        <f>Dummy_Variables!H229</f>
        <v>9.2999999999999999E-2</v>
      </c>
      <c r="I229" s="7">
        <f>Dummy_Variables!I229</f>
        <v>5</v>
      </c>
      <c r="J229" s="7">
        <f>Dummy_Variables!J229</f>
        <v>95</v>
      </c>
      <c r="K229" s="2">
        <f>Dummy_Variables!K229</f>
        <v>0</v>
      </c>
      <c r="L229" s="7">
        <f>Dummy_Variables!L229</f>
        <v>0</v>
      </c>
      <c r="M229" s="2">
        <f>Dummy_Variables!M229</f>
        <v>0</v>
      </c>
      <c r="N229" s="2">
        <f>Dummy_Variables!N229</f>
        <v>0</v>
      </c>
      <c r="O229" s="2">
        <f>Dummy_Variables!O229</f>
        <v>1</v>
      </c>
      <c r="P229" s="7">
        <f t="shared" si="12"/>
        <v>461688.2490291553</v>
      </c>
      <c r="Q229" s="7">
        <f t="shared" si="13"/>
        <v>67910.690970844647</v>
      </c>
      <c r="R229" s="7">
        <f t="shared" si="14"/>
        <v>67910.690970844647</v>
      </c>
      <c r="S229" s="2" t="str">
        <f t="shared" si="15"/>
        <v>Positive residual - actual above prediction</v>
      </c>
      <c r="T229" s="2"/>
      <c r="U229" s="2"/>
      <c r="V229" s="2"/>
    </row>
    <row r="230" spans="1:22" x14ac:dyDescent="0.35">
      <c r="A230" s="2" t="str">
        <f>Dummy_Variables!A230</f>
        <v>STR-1058</v>
      </c>
      <c r="B230" s="2" t="str">
        <f>Dummy_Variables!B230</f>
        <v>2025-01</v>
      </c>
      <c r="C230" s="2" t="str">
        <f>Dummy_Variables!C230</f>
        <v>East</v>
      </c>
      <c r="D230" s="2" t="str">
        <f>Dummy_Variables!D230</f>
        <v>High Street</v>
      </c>
      <c r="E230" s="7">
        <f>Dummy_Variables!E230</f>
        <v>570963.31000000006</v>
      </c>
      <c r="F230" s="7">
        <f>Dummy_Variables!F230</f>
        <v>37324.230000000003</v>
      </c>
      <c r="G230" s="7">
        <f>Dummy_Variables!G230</f>
        <v>5957</v>
      </c>
      <c r="H230" s="7">
        <f>Dummy_Variables!H230</f>
        <v>7.0999999999999994E-2</v>
      </c>
      <c r="I230" s="7">
        <f>Dummy_Variables!I230</f>
        <v>12</v>
      </c>
      <c r="J230" s="7">
        <f>Dummy_Variables!J230</f>
        <v>85.9</v>
      </c>
      <c r="K230" s="2">
        <f>Dummy_Variables!K230</f>
        <v>0</v>
      </c>
      <c r="L230" s="7">
        <f>Dummy_Variables!L230</f>
        <v>3.8</v>
      </c>
      <c r="M230" s="2">
        <f>Dummy_Variables!M230</f>
        <v>0</v>
      </c>
      <c r="N230" s="2">
        <f>Dummy_Variables!N230</f>
        <v>1</v>
      </c>
      <c r="O230" s="2">
        <f>Dummy_Variables!O230</f>
        <v>0</v>
      </c>
      <c r="P230" s="7">
        <f t="shared" si="12"/>
        <v>623682.25656252878</v>
      </c>
      <c r="Q230" s="7">
        <f t="shared" si="13"/>
        <v>-52718.946562528727</v>
      </c>
      <c r="R230" s="7">
        <f t="shared" si="14"/>
        <v>52718.946562528727</v>
      </c>
      <c r="S230" s="2" t="str">
        <f t="shared" si="15"/>
        <v>Negative residual - actual below prediction</v>
      </c>
      <c r="T230" s="2"/>
      <c r="U230" s="2"/>
      <c r="V230" s="2"/>
    </row>
    <row r="231" spans="1:22" x14ac:dyDescent="0.35">
      <c r="A231" s="2" t="str">
        <f>Dummy_Variables!A231</f>
        <v>STR-1058</v>
      </c>
      <c r="B231" s="2" t="str">
        <f>Dummy_Variables!B231</f>
        <v>2025-02</v>
      </c>
      <c r="C231" s="2" t="str">
        <f>Dummy_Variables!C231</f>
        <v>East</v>
      </c>
      <c r="D231" s="2" t="str">
        <f>Dummy_Variables!D231</f>
        <v>High Street</v>
      </c>
      <c r="E231" s="7">
        <f>Dummy_Variables!E231</f>
        <v>870937.4</v>
      </c>
      <c r="F231" s="7">
        <f>Dummy_Variables!F231</f>
        <v>113736</v>
      </c>
      <c r="G231" s="7">
        <f>Dummy_Variables!G231</f>
        <v>8961</v>
      </c>
      <c r="H231" s="7">
        <f>Dummy_Variables!H231</f>
        <v>0.20200000000000001</v>
      </c>
      <c r="I231" s="7">
        <f>Dummy_Variables!I231</f>
        <v>24</v>
      </c>
      <c r="J231" s="7">
        <f>Dummy_Variables!J231</f>
        <v>86.2</v>
      </c>
      <c r="K231" s="2">
        <f>Dummy_Variables!K231</f>
        <v>0</v>
      </c>
      <c r="L231" s="7">
        <f>Dummy_Variables!L231</f>
        <v>4</v>
      </c>
      <c r="M231" s="2">
        <f>Dummy_Variables!M231</f>
        <v>0</v>
      </c>
      <c r="N231" s="2">
        <f>Dummy_Variables!N231</f>
        <v>1</v>
      </c>
      <c r="O231" s="2">
        <f>Dummy_Variables!O231</f>
        <v>0</v>
      </c>
      <c r="P231" s="7">
        <f t="shared" si="12"/>
        <v>826248.74980547361</v>
      </c>
      <c r="Q231" s="7">
        <f t="shared" si="13"/>
        <v>44688.650194526417</v>
      </c>
      <c r="R231" s="7">
        <f t="shared" si="14"/>
        <v>44688.650194526417</v>
      </c>
      <c r="S231" s="2" t="str">
        <f t="shared" si="15"/>
        <v>Positive residual - actual above prediction</v>
      </c>
      <c r="T231" s="2"/>
      <c r="U231" s="2"/>
      <c r="V231" s="2"/>
    </row>
    <row r="232" spans="1:22" x14ac:dyDescent="0.35">
      <c r="A232" s="2" t="str">
        <f>Dummy_Variables!A232</f>
        <v>STR-1058</v>
      </c>
      <c r="B232" s="2" t="str">
        <f>Dummy_Variables!B232</f>
        <v>2025-03</v>
      </c>
      <c r="C232" s="2" t="str">
        <f>Dummy_Variables!C232</f>
        <v>East</v>
      </c>
      <c r="D232" s="2" t="str">
        <f>Dummy_Variables!D232</f>
        <v>High Street</v>
      </c>
      <c r="E232" s="7">
        <f>Dummy_Variables!E232</f>
        <v>596969.27</v>
      </c>
      <c r="F232" s="7">
        <f>Dummy_Variables!F232</f>
        <v>33173.949999999997</v>
      </c>
      <c r="G232" s="7">
        <f>Dummy_Variables!G232</f>
        <v>6545</v>
      </c>
      <c r="H232" s="7">
        <f>Dummy_Variables!H232</f>
        <v>0.16900000000000001</v>
      </c>
      <c r="I232" s="7">
        <f>Dummy_Variables!I232</f>
        <v>15</v>
      </c>
      <c r="J232" s="7">
        <f>Dummy_Variables!J232</f>
        <v>84.4</v>
      </c>
      <c r="K232" s="2">
        <f>Dummy_Variables!K232</f>
        <v>0</v>
      </c>
      <c r="L232" s="7">
        <f>Dummy_Variables!L232</f>
        <v>3.9</v>
      </c>
      <c r="M232" s="2">
        <f>Dummy_Variables!M232</f>
        <v>0</v>
      </c>
      <c r="N232" s="2">
        <f>Dummy_Variables!N232</f>
        <v>1</v>
      </c>
      <c r="O232" s="2">
        <f>Dummy_Variables!O232</f>
        <v>0</v>
      </c>
      <c r="P232" s="7">
        <f t="shared" si="12"/>
        <v>634437.77432067145</v>
      </c>
      <c r="Q232" s="7">
        <f t="shared" si="13"/>
        <v>-37468.504320671433</v>
      </c>
      <c r="R232" s="7">
        <f t="shared" si="14"/>
        <v>37468.504320671433</v>
      </c>
      <c r="S232" s="2" t="str">
        <f t="shared" si="15"/>
        <v>Negative residual - actual below prediction</v>
      </c>
      <c r="T232" s="2"/>
      <c r="U232" s="2"/>
      <c r="V232" s="2"/>
    </row>
    <row r="233" spans="1:22" x14ac:dyDescent="0.35">
      <c r="A233" s="2" t="str">
        <f>Dummy_Variables!A233</f>
        <v>STR-1058</v>
      </c>
      <c r="B233" s="2" t="str">
        <f>Dummy_Variables!B233</f>
        <v>2025-04</v>
      </c>
      <c r="C233" s="2" t="str">
        <f>Dummy_Variables!C233</f>
        <v>East</v>
      </c>
      <c r="D233" s="2" t="str">
        <f>Dummy_Variables!D233</f>
        <v>High Street</v>
      </c>
      <c r="E233" s="7">
        <f>Dummy_Variables!E233</f>
        <v>647512.85</v>
      </c>
      <c r="F233" s="7">
        <f>Dummy_Variables!F233</f>
        <v>25818.080000000002</v>
      </c>
      <c r="G233" s="7">
        <f>Dummy_Variables!G233</f>
        <v>5457</v>
      </c>
      <c r="H233" s="7">
        <f>Dummy_Variables!H233</f>
        <v>0</v>
      </c>
      <c r="I233" s="7">
        <f>Dummy_Variables!I233</f>
        <v>11</v>
      </c>
      <c r="J233" s="7">
        <f>Dummy_Variables!J233</f>
        <v>95.4</v>
      </c>
      <c r="K233" s="2">
        <f>Dummy_Variables!K233</f>
        <v>0</v>
      </c>
      <c r="L233" s="7">
        <f>Dummy_Variables!L233</f>
        <v>3.7</v>
      </c>
      <c r="M233" s="2">
        <f>Dummy_Variables!M233</f>
        <v>0</v>
      </c>
      <c r="N233" s="2">
        <f>Dummy_Variables!N233</f>
        <v>1</v>
      </c>
      <c r="O233" s="2">
        <f>Dummy_Variables!O233</f>
        <v>0</v>
      </c>
      <c r="P233" s="7">
        <f t="shared" si="12"/>
        <v>625332.80708716519</v>
      </c>
      <c r="Q233" s="7">
        <f t="shared" si="13"/>
        <v>22180.04291283479</v>
      </c>
      <c r="R233" s="7">
        <f t="shared" si="14"/>
        <v>22180.04291283479</v>
      </c>
      <c r="S233" s="2" t="str">
        <f t="shared" si="15"/>
        <v>Positive residual - actual above prediction</v>
      </c>
      <c r="T233" s="2"/>
      <c r="U233" s="2"/>
      <c r="V233" s="2"/>
    </row>
    <row r="234" spans="1:22" x14ac:dyDescent="0.35">
      <c r="A234" s="2" t="str">
        <f>Dummy_Variables!A234</f>
        <v>STR-1059</v>
      </c>
      <c r="B234" s="2" t="str">
        <f>Dummy_Variables!B234</f>
        <v>2025-01</v>
      </c>
      <c r="C234" s="2" t="str">
        <f>Dummy_Variables!C234</f>
        <v>West</v>
      </c>
      <c r="D234" s="2" t="str">
        <f>Dummy_Variables!D234</f>
        <v>Residential</v>
      </c>
      <c r="E234" s="7">
        <f>Dummy_Variables!E234</f>
        <v>658072.14</v>
      </c>
      <c r="F234" s="7">
        <f>Dummy_Variables!F234</f>
        <v>47241.919999999998</v>
      </c>
      <c r="G234" s="7">
        <f>Dummy_Variables!G234</f>
        <v>4264</v>
      </c>
      <c r="H234" s="7">
        <f>Dummy_Variables!H234</f>
        <v>6.9000000000000006E-2</v>
      </c>
      <c r="I234" s="7">
        <f>Dummy_Variables!I234</f>
        <v>13</v>
      </c>
      <c r="J234" s="7">
        <f>Dummy_Variables!J234</f>
        <v>95.3</v>
      </c>
      <c r="K234" s="2">
        <f>Dummy_Variables!K234</f>
        <v>0</v>
      </c>
      <c r="L234" s="7">
        <f>Dummy_Variables!L234</f>
        <v>4.3</v>
      </c>
      <c r="M234" s="2">
        <f>Dummy_Variables!M234</f>
        <v>0</v>
      </c>
      <c r="N234" s="2">
        <f>Dummy_Variables!N234</f>
        <v>0</v>
      </c>
      <c r="O234" s="2">
        <f>Dummy_Variables!O234</f>
        <v>0</v>
      </c>
      <c r="P234" s="7">
        <f t="shared" si="12"/>
        <v>606906.74066983885</v>
      </c>
      <c r="Q234" s="7">
        <f t="shared" si="13"/>
        <v>51165.399330161163</v>
      </c>
      <c r="R234" s="7">
        <f t="shared" si="14"/>
        <v>51165.399330161163</v>
      </c>
      <c r="S234" s="2" t="str">
        <f t="shared" si="15"/>
        <v>Positive residual - actual above prediction</v>
      </c>
      <c r="T234" s="2"/>
      <c r="U234" s="2"/>
      <c r="V234" s="2"/>
    </row>
    <row r="235" spans="1:22" x14ac:dyDescent="0.35">
      <c r="A235" s="2" t="str">
        <f>Dummy_Variables!A235</f>
        <v>STR-1059</v>
      </c>
      <c r="B235" s="2" t="str">
        <f>Dummy_Variables!B235</f>
        <v>2025-02</v>
      </c>
      <c r="C235" s="2" t="str">
        <f>Dummy_Variables!C235</f>
        <v>West</v>
      </c>
      <c r="D235" s="2" t="str">
        <f>Dummy_Variables!D235</f>
        <v>Residential</v>
      </c>
      <c r="E235" s="7">
        <f>Dummy_Variables!E235</f>
        <v>723305.11</v>
      </c>
      <c r="F235" s="7">
        <f>Dummy_Variables!F235</f>
        <v>61650.79</v>
      </c>
      <c r="G235" s="7">
        <f>Dummy_Variables!G235</f>
        <v>5321</v>
      </c>
      <c r="H235" s="7">
        <f>Dummy_Variables!H235</f>
        <v>0.126</v>
      </c>
      <c r="I235" s="7">
        <f>Dummy_Variables!I235</f>
        <v>17</v>
      </c>
      <c r="J235" s="7">
        <f>Dummy_Variables!J235</f>
        <v>89.2</v>
      </c>
      <c r="K235" s="2">
        <f>Dummy_Variables!K235</f>
        <v>0</v>
      </c>
      <c r="L235" s="7">
        <f>Dummy_Variables!L235</f>
        <v>4</v>
      </c>
      <c r="M235" s="2">
        <f>Dummy_Variables!M235</f>
        <v>0</v>
      </c>
      <c r="N235" s="2">
        <f>Dummy_Variables!N235</f>
        <v>0</v>
      </c>
      <c r="O235" s="2">
        <f>Dummy_Variables!O235</f>
        <v>0</v>
      </c>
      <c r="P235" s="7">
        <f t="shared" si="12"/>
        <v>638879.97527195292</v>
      </c>
      <c r="Q235" s="7">
        <f t="shared" si="13"/>
        <v>84425.134728047065</v>
      </c>
      <c r="R235" s="7">
        <f t="shared" si="14"/>
        <v>84425.134728047065</v>
      </c>
      <c r="S235" s="2" t="str">
        <f t="shared" si="15"/>
        <v>Positive residual - actual above prediction</v>
      </c>
      <c r="T235" s="2"/>
      <c r="U235" s="2"/>
      <c r="V235" s="2"/>
    </row>
    <row r="236" spans="1:22" x14ac:dyDescent="0.35">
      <c r="A236" s="2" t="str">
        <f>Dummy_Variables!A236</f>
        <v>STR-1059</v>
      </c>
      <c r="B236" s="2" t="str">
        <f>Dummy_Variables!B236</f>
        <v>2025-03</v>
      </c>
      <c r="C236" s="2" t="str">
        <f>Dummy_Variables!C236</f>
        <v>West</v>
      </c>
      <c r="D236" s="2" t="str">
        <f>Dummy_Variables!D236</f>
        <v>Residential</v>
      </c>
      <c r="E236" s="7">
        <f>Dummy_Variables!E236</f>
        <v>640666.53</v>
      </c>
      <c r="F236" s="7">
        <f>Dummy_Variables!F236</f>
        <v>62582.71</v>
      </c>
      <c r="G236" s="7">
        <f>Dummy_Variables!G236</f>
        <v>5479</v>
      </c>
      <c r="H236" s="7">
        <f>Dummy_Variables!H236</f>
        <v>4.8000000000000001E-2</v>
      </c>
      <c r="I236" s="7">
        <f>Dummy_Variables!I236</f>
        <v>16</v>
      </c>
      <c r="J236" s="7">
        <f>Dummy_Variables!J236</f>
        <v>81.2</v>
      </c>
      <c r="K236" s="2">
        <f>Dummy_Variables!K236</f>
        <v>0</v>
      </c>
      <c r="L236" s="7">
        <f>Dummy_Variables!L236</f>
        <v>4.5</v>
      </c>
      <c r="M236" s="2">
        <f>Dummy_Variables!M236</f>
        <v>0</v>
      </c>
      <c r="N236" s="2">
        <f>Dummy_Variables!N236</f>
        <v>0</v>
      </c>
      <c r="O236" s="2">
        <f>Dummy_Variables!O236</f>
        <v>0</v>
      </c>
      <c r="P236" s="7">
        <f t="shared" si="12"/>
        <v>629091.95596484421</v>
      </c>
      <c r="Q236" s="7">
        <f t="shared" si="13"/>
        <v>11574.57403515582</v>
      </c>
      <c r="R236" s="7">
        <f t="shared" si="14"/>
        <v>11574.57403515582</v>
      </c>
      <c r="S236" s="2" t="str">
        <f t="shared" si="15"/>
        <v>Positive residual - actual above prediction</v>
      </c>
      <c r="T236" s="2"/>
      <c r="U236" s="2"/>
      <c r="V236" s="2"/>
    </row>
    <row r="237" spans="1:22" x14ac:dyDescent="0.35">
      <c r="A237" s="2" t="str">
        <f>Dummy_Variables!A237</f>
        <v>STR-1059</v>
      </c>
      <c r="B237" s="2" t="str">
        <f>Dummy_Variables!B237</f>
        <v>2025-04</v>
      </c>
      <c r="C237" s="2" t="str">
        <f>Dummy_Variables!C237</f>
        <v>West</v>
      </c>
      <c r="D237" s="2" t="str">
        <f>Dummy_Variables!D237</f>
        <v>Residential</v>
      </c>
      <c r="E237" s="7">
        <f>Dummy_Variables!E237</f>
        <v>670629.48</v>
      </c>
      <c r="F237" s="7">
        <f>Dummy_Variables!F237</f>
        <v>47944.14</v>
      </c>
      <c r="G237" s="7">
        <f>Dummy_Variables!G237</f>
        <v>6169</v>
      </c>
      <c r="H237" s="7">
        <f>Dummy_Variables!H237</f>
        <v>0.11899999999999999</v>
      </c>
      <c r="I237" s="7">
        <f>Dummy_Variables!I237</f>
        <v>17</v>
      </c>
      <c r="J237" s="7">
        <f>Dummy_Variables!J237</f>
        <v>92.2</v>
      </c>
      <c r="K237" s="2">
        <f>Dummy_Variables!K237</f>
        <v>0</v>
      </c>
      <c r="L237" s="7">
        <f>Dummy_Variables!L237</f>
        <v>4.0999999999999996</v>
      </c>
      <c r="M237" s="2">
        <f>Dummy_Variables!M237</f>
        <v>0</v>
      </c>
      <c r="N237" s="2">
        <f>Dummy_Variables!N237</f>
        <v>0</v>
      </c>
      <c r="O237" s="2">
        <f>Dummy_Variables!O237</f>
        <v>0</v>
      </c>
      <c r="P237" s="7">
        <f t="shared" si="12"/>
        <v>657928.4487229595</v>
      </c>
      <c r="Q237" s="7">
        <f t="shared" si="13"/>
        <v>12701.031277040485</v>
      </c>
      <c r="R237" s="7">
        <f t="shared" si="14"/>
        <v>12701.031277040485</v>
      </c>
      <c r="S237" s="2" t="str">
        <f t="shared" si="15"/>
        <v>Positive residual - actual above prediction</v>
      </c>
      <c r="T237" s="2"/>
      <c r="U237" s="2"/>
      <c r="V237" s="2"/>
    </row>
    <row r="238" spans="1:22" x14ac:dyDescent="0.35">
      <c r="A238" s="2" t="str">
        <f>Dummy_Variables!A238</f>
        <v>STR-1060</v>
      </c>
      <c r="B238" s="2" t="str">
        <f>Dummy_Variables!B238</f>
        <v>2025-01</v>
      </c>
      <c r="C238" s="2" t="str">
        <f>Dummy_Variables!C238</f>
        <v>West</v>
      </c>
      <c r="D238" s="2" t="str">
        <f>Dummy_Variables!D238</f>
        <v>Mall</v>
      </c>
      <c r="E238" s="7">
        <f>Dummy_Variables!E238</f>
        <v>721079.35</v>
      </c>
      <c r="F238" s="7">
        <f>Dummy_Variables!F238</f>
        <v>46495.4</v>
      </c>
      <c r="G238" s="7">
        <f>Dummy_Variables!G238</f>
        <v>9908</v>
      </c>
      <c r="H238" s="7">
        <f>Dummy_Variables!H238</f>
        <v>0.121</v>
      </c>
      <c r="I238" s="7">
        <f>Dummy_Variables!I238</f>
        <v>22</v>
      </c>
      <c r="J238" s="7">
        <f>Dummy_Variables!J238</f>
        <v>89.4</v>
      </c>
      <c r="K238" s="2">
        <f>Dummy_Variables!K238</f>
        <v>0</v>
      </c>
      <c r="L238" s="7">
        <f>Dummy_Variables!L238</f>
        <v>3.7</v>
      </c>
      <c r="M238" s="2">
        <f>Dummy_Variables!M238</f>
        <v>0</v>
      </c>
      <c r="N238" s="2">
        <f>Dummy_Variables!N238</f>
        <v>0</v>
      </c>
      <c r="O238" s="2">
        <f>Dummy_Variables!O238</f>
        <v>1</v>
      </c>
      <c r="P238" s="7">
        <f t="shared" si="12"/>
        <v>789824.83712853689</v>
      </c>
      <c r="Q238" s="7">
        <f t="shared" si="13"/>
        <v>-68745.487128536915</v>
      </c>
      <c r="R238" s="7">
        <f t="shared" si="14"/>
        <v>68745.487128536915</v>
      </c>
      <c r="S238" s="2" t="str">
        <f t="shared" si="15"/>
        <v>Negative residual - actual below prediction</v>
      </c>
      <c r="T238" s="2"/>
      <c r="U238" s="2"/>
      <c r="V238" s="2"/>
    </row>
    <row r="239" spans="1:22" x14ac:dyDescent="0.35">
      <c r="A239" s="2" t="str">
        <f>Dummy_Variables!A239</f>
        <v>STR-1060</v>
      </c>
      <c r="B239" s="2" t="str">
        <f>Dummy_Variables!B239</f>
        <v>2025-02</v>
      </c>
      <c r="C239" s="2" t="str">
        <f>Dummy_Variables!C239</f>
        <v>West</v>
      </c>
      <c r="D239" s="2" t="str">
        <f>Dummy_Variables!D239</f>
        <v>Mall</v>
      </c>
      <c r="E239" s="7">
        <f>Dummy_Variables!E239</f>
        <v>810355.02</v>
      </c>
      <c r="F239" s="7">
        <f>Dummy_Variables!F239</f>
        <v>72961.95</v>
      </c>
      <c r="G239" s="7">
        <f>Dummy_Variables!G239</f>
        <v>9996</v>
      </c>
      <c r="H239" s="7">
        <f>Dummy_Variables!H239</f>
        <v>0.106</v>
      </c>
      <c r="I239" s="7">
        <f>Dummy_Variables!I239</f>
        <v>22</v>
      </c>
      <c r="J239" s="7">
        <f>Dummy_Variables!J239</f>
        <v>89.1</v>
      </c>
      <c r="K239" s="2">
        <f>Dummy_Variables!K239</f>
        <v>0</v>
      </c>
      <c r="L239" s="7">
        <f>Dummy_Variables!L239</f>
        <v>3.4</v>
      </c>
      <c r="M239" s="2">
        <f>Dummy_Variables!M239</f>
        <v>0</v>
      </c>
      <c r="N239" s="2">
        <f>Dummy_Variables!N239</f>
        <v>0</v>
      </c>
      <c r="O239" s="2">
        <f>Dummy_Variables!O239</f>
        <v>1</v>
      </c>
      <c r="P239" s="7">
        <f t="shared" si="12"/>
        <v>819108.11001109832</v>
      </c>
      <c r="Q239" s="7">
        <f t="shared" si="13"/>
        <v>-8753.0900110983057</v>
      </c>
      <c r="R239" s="7">
        <f t="shared" si="14"/>
        <v>8753.0900110983057</v>
      </c>
      <c r="S239" s="2" t="str">
        <f t="shared" si="15"/>
        <v>Negative residual - actual below prediction</v>
      </c>
      <c r="T239" s="2"/>
      <c r="U239" s="2"/>
      <c r="V239" s="2"/>
    </row>
    <row r="240" spans="1:22" x14ac:dyDescent="0.35">
      <c r="A240" s="2" t="str">
        <f>Dummy_Variables!A240</f>
        <v>STR-1060</v>
      </c>
      <c r="B240" s="2" t="str">
        <f>Dummy_Variables!B240</f>
        <v>2025-03</v>
      </c>
      <c r="C240" s="2" t="str">
        <f>Dummy_Variables!C240</f>
        <v>West</v>
      </c>
      <c r="D240" s="2" t="str">
        <f>Dummy_Variables!D240</f>
        <v>Mall</v>
      </c>
      <c r="E240" s="7">
        <f>Dummy_Variables!E240</f>
        <v>761919.25</v>
      </c>
      <c r="F240" s="7">
        <f>Dummy_Variables!F240</f>
        <v>59060.05</v>
      </c>
      <c r="G240" s="7">
        <f>Dummy_Variables!G240</f>
        <v>9702</v>
      </c>
      <c r="H240" s="7">
        <f>Dummy_Variables!H240</f>
        <v>0.20100000000000001</v>
      </c>
      <c r="I240" s="7">
        <f>Dummy_Variables!I240</f>
        <v>23</v>
      </c>
      <c r="J240" s="7">
        <f>Dummy_Variables!J240</f>
        <v>80.900000000000006</v>
      </c>
      <c r="K240" s="2">
        <f>Dummy_Variables!K240</f>
        <v>0</v>
      </c>
      <c r="L240" s="7">
        <f>Dummy_Variables!L240</f>
        <v>3.2</v>
      </c>
      <c r="M240" s="2">
        <f>Dummy_Variables!M240</f>
        <v>0</v>
      </c>
      <c r="N240" s="2">
        <f>Dummy_Variables!N240</f>
        <v>0</v>
      </c>
      <c r="O240" s="2">
        <f>Dummy_Variables!O240</f>
        <v>1</v>
      </c>
      <c r="P240" s="7">
        <f t="shared" si="12"/>
        <v>763964.30123097915</v>
      </c>
      <c r="Q240" s="7">
        <f t="shared" si="13"/>
        <v>-2045.051230979152</v>
      </c>
      <c r="R240" s="7">
        <f t="shared" si="14"/>
        <v>2045.051230979152</v>
      </c>
      <c r="S240" s="2" t="str">
        <f t="shared" si="15"/>
        <v>Negative residual - actual below prediction</v>
      </c>
      <c r="T240" s="2"/>
      <c r="U240" s="2"/>
      <c r="V240" s="2"/>
    </row>
    <row r="241" spans="1:22" x14ac:dyDescent="0.35">
      <c r="A241" s="2" t="str">
        <f>Dummy_Variables!A241</f>
        <v>STR-1060</v>
      </c>
      <c r="B241" s="2" t="str">
        <f>Dummy_Variables!B241</f>
        <v>2025-04</v>
      </c>
      <c r="C241" s="2" t="str">
        <f>Dummy_Variables!C241</f>
        <v>West</v>
      </c>
      <c r="D241" s="2" t="str">
        <f>Dummy_Variables!D241</f>
        <v>Mall</v>
      </c>
      <c r="E241" s="7">
        <f>Dummy_Variables!E241</f>
        <v>737070.18</v>
      </c>
      <c r="F241" s="7">
        <f>Dummy_Variables!F241</f>
        <v>26248.1</v>
      </c>
      <c r="G241" s="7">
        <f>Dummy_Variables!G241</f>
        <v>9314</v>
      </c>
      <c r="H241" s="7">
        <f>Dummy_Variables!H241</f>
        <v>0.186</v>
      </c>
      <c r="I241" s="7">
        <f>Dummy_Variables!I241</f>
        <v>21</v>
      </c>
      <c r="J241" s="7">
        <f>Dummy_Variables!J241</f>
        <v>83.7</v>
      </c>
      <c r="K241" s="2">
        <f>Dummy_Variables!K241</f>
        <v>0</v>
      </c>
      <c r="L241" s="7">
        <f>Dummy_Variables!L241</f>
        <v>3.3</v>
      </c>
      <c r="M241" s="2">
        <f>Dummy_Variables!M241</f>
        <v>0</v>
      </c>
      <c r="N241" s="2">
        <f>Dummy_Variables!N241</f>
        <v>0</v>
      </c>
      <c r="O241" s="2">
        <f>Dummy_Variables!O241</f>
        <v>1</v>
      </c>
      <c r="P241" s="7">
        <f t="shared" si="12"/>
        <v>720068.50590894348</v>
      </c>
      <c r="Q241" s="7">
        <f t="shared" si="13"/>
        <v>17001.674091056571</v>
      </c>
      <c r="R241" s="7">
        <f t="shared" si="14"/>
        <v>17001.674091056571</v>
      </c>
      <c r="S241" s="2" t="str">
        <f t="shared" si="15"/>
        <v>Positive residual - actual above prediction</v>
      </c>
      <c r="T241" s="2"/>
      <c r="U241" s="2"/>
      <c r="V241" s="2"/>
    </row>
    <row r="242" spans="1:22" x14ac:dyDescent="0.35">
      <c r="A242" s="2" t="str">
        <f>Dummy_Variables!A242</f>
        <v>STR-1061</v>
      </c>
      <c r="B242" s="2" t="str">
        <f>Dummy_Variables!B242</f>
        <v>2025-01</v>
      </c>
      <c r="C242" s="2" t="str">
        <f>Dummy_Variables!C242</f>
        <v>South</v>
      </c>
      <c r="D242" s="2" t="str">
        <f>Dummy_Variables!D242</f>
        <v>Airport</v>
      </c>
      <c r="E242" s="7">
        <f>Dummy_Variables!E242</f>
        <v>776992.93</v>
      </c>
      <c r="F242" s="7">
        <f>Dummy_Variables!F242</f>
        <v>69900.12</v>
      </c>
      <c r="G242" s="7">
        <f>Dummy_Variables!G242</f>
        <v>8055</v>
      </c>
      <c r="H242" s="7">
        <f>Dummy_Variables!H242</f>
        <v>0.28100000000000003</v>
      </c>
      <c r="I242" s="7">
        <f>Dummy_Variables!I242</f>
        <v>22</v>
      </c>
      <c r="J242" s="7">
        <f>Dummy_Variables!J242</f>
        <v>85.6</v>
      </c>
      <c r="K242" s="2">
        <f>Dummy_Variables!K242</f>
        <v>1</v>
      </c>
      <c r="L242" s="7">
        <f>Dummy_Variables!L242</f>
        <v>2.9</v>
      </c>
      <c r="M242" s="2">
        <f>Dummy_Variables!M242</f>
        <v>1</v>
      </c>
      <c r="N242" s="2">
        <f>Dummy_Variables!N242</f>
        <v>0</v>
      </c>
      <c r="O242" s="2">
        <f>Dummy_Variables!O242</f>
        <v>0</v>
      </c>
      <c r="P242" s="7">
        <f t="shared" si="12"/>
        <v>756069.91338588286</v>
      </c>
      <c r="Q242" s="7">
        <f t="shared" si="13"/>
        <v>20923.016614117194</v>
      </c>
      <c r="R242" s="7">
        <f t="shared" si="14"/>
        <v>20923.016614117194</v>
      </c>
      <c r="S242" s="2" t="str">
        <f t="shared" si="15"/>
        <v>Positive residual - actual above prediction</v>
      </c>
      <c r="T242" s="2"/>
      <c r="U242" s="2"/>
      <c r="V242" s="2"/>
    </row>
    <row r="243" spans="1:22" x14ac:dyDescent="0.35">
      <c r="A243" s="2" t="str">
        <f>Dummy_Variables!A243</f>
        <v>STR-1061</v>
      </c>
      <c r="B243" s="2" t="str">
        <f>Dummy_Variables!B243</f>
        <v>2025-02</v>
      </c>
      <c r="C243" s="2" t="str">
        <f>Dummy_Variables!C243</f>
        <v>South</v>
      </c>
      <c r="D243" s="2" t="str">
        <f>Dummy_Variables!D243</f>
        <v>Airport</v>
      </c>
      <c r="E243" s="7">
        <f>Dummy_Variables!E243</f>
        <v>676337.41</v>
      </c>
      <c r="F243" s="7">
        <f>Dummy_Variables!F243</f>
        <v>51781.599999999999</v>
      </c>
      <c r="G243" s="7">
        <f>Dummy_Variables!G243</f>
        <v>5648</v>
      </c>
      <c r="H243" s="7">
        <f>Dummy_Variables!H243</f>
        <v>5.8999999999999997E-2</v>
      </c>
      <c r="I243" s="7">
        <f>Dummy_Variables!I243</f>
        <v>13</v>
      </c>
      <c r="J243" s="7">
        <f>Dummy_Variables!J243</f>
        <v>85.5</v>
      </c>
      <c r="K243" s="2">
        <f>Dummy_Variables!K243</f>
        <v>0</v>
      </c>
      <c r="L243" s="7">
        <f>Dummy_Variables!L243</f>
        <v>3.7</v>
      </c>
      <c r="M243" s="2">
        <f>Dummy_Variables!M243</f>
        <v>1</v>
      </c>
      <c r="N243" s="2">
        <f>Dummy_Variables!N243</f>
        <v>0</v>
      </c>
      <c r="O243" s="2">
        <f>Dummy_Variables!O243</f>
        <v>0</v>
      </c>
      <c r="P243" s="7">
        <f t="shared" si="12"/>
        <v>653980.26140919107</v>
      </c>
      <c r="Q243" s="7">
        <f t="shared" si="13"/>
        <v>22357.148590808967</v>
      </c>
      <c r="R243" s="7">
        <f t="shared" si="14"/>
        <v>22357.148590808967</v>
      </c>
      <c r="S243" s="2" t="str">
        <f t="shared" si="15"/>
        <v>Positive residual - actual above prediction</v>
      </c>
      <c r="T243" s="2"/>
      <c r="U243" s="2"/>
      <c r="V243" s="2"/>
    </row>
    <row r="244" spans="1:22" x14ac:dyDescent="0.35">
      <c r="A244" s="2" t="str">
        <f>Dummy_Variables!A244</f>
        <v>STR-1061</v>
      </c>
      <c r="B244" s="2" t="str">
        <f>Dummy_Variables!B244</f>
        <v>2025-03</v>
      </c>
      <c r="C244" s="2" t="str">
        <f>Dummy_Variables!C244</f>
        <v>South</v>
      </c>
      <c r="D244" s="2" t="str">
        <f>Dummy_Variables!D244</f>
        <v>Airport</v>
      </c>
      <c r="E244" s="7">
        <f>Dummy_Variables!E244</f>
        <v>828219.67</v>
      </c>
      <c r="F244" s="7">
        <f>Dummy_Variables!F244</f>
        <v>70799.64</v>
      </c>
      <c r="G244" s="7">
        <f>Dummy_Variables!G244</f>
        <v>10076</v>
      </c>
      <c r="H244" s="7">
        <f>Dummy_Variables!H244</f>
        <v>0.152</v>
      </c>
      <c r="I244" s="7">
        <f>Dummy_Variables!I244</f>
        <v>24</v>
      </c>
      <c r="J244" s="7">
        <f>Dummy_Variables!J244</f>
        <v>84.8</v>
      </c>
      <c r="K244" s="2">
        <f>Dummy_Variables!K244</f>
        <v>0</v>
      </c>
      <c r="L244" s="7">
        <f>Dummy_Variables!L244</f>
        <v>3.5</v>
      </c>
      <c r="M244" s="2">
        <f>Dummy_Variables!M244</f>
        <v>1</v>
      </c>
      <c r="N244" s="2">
        <f>Dummy_Variables!N244</f>
        <v>0</v>
      </c>
      <c r="O244" s="2">
        <f>Dummy_Variables!O244</f>
        <v>0</v>
      </c>
      <c r="P244" s="7">
        <f t="shared" si="12"/>
        <v>822072.23974116764</v>
      </c>
      <c r="Q244" s="7">
        <f t="shared" si="13"/>
        <v>6147.4302588324063</v>
      </c>
      <c r="R244" s="7">
        <f t="shared" si="14"/>
        <v>6147.4302588324063</v>
      </c>
      <c r="S244" s="2" t="str">
        <f t="shared" si="15"/>
        <v>Positive residual - actual above prediction</v>
      </c>
      <c r="T244" s="2"/>
      <c r="U244" s="2"/>
      <c r="V244" s="2"/>
    </row>
    <row r="245" spans="1:22" x14ac:dyDescent="0.35">
      <c r="A245" s="2" t="str">
        <f>Dummy_Variables!A245</f>
        <v>STR-1061</v>
      </c>
      <c r="B245" s="2" t="str">
        <f>Dummy_Variables!B245</f>
        <v>2025-04</v>
      </c>
      <c r="C245" s="2" t="str">
        <f>Dummy_Variables!C245</f>
        <v>South</v>
      </c>
      <c r="D245" s="2" t="str">
        <f>Dummy_Variables!D245</f>
        <v>Airport</v>
      </c>
      <c r="E245" s="7">
        <f>Dummy_Variables!E245</f>
        <v>763159.92</v>
      </c>
      <c r="F245" s="7">
        <f>Dummy_Variables!F245</f>
        <v>53546.34</v>
      </c>
      <c r="G245" s="7">
        <f>Dummy_Variables!G245</f>
        <v>8004</v>
      </c>
      <c r="H245" s="7">
        <f>Dummy_Variables!H245</f>
        <v>0</v>
      </c>
      <c r="I245" s="7">
        <f>Dummy_Variables!I245</f>
        <v>21</v>
      </c>
      <c r="J245" s="7">
        <f>Dummy_Variables!J245</f>
        <v>95.2</v>
      </c>
      <c r="K245" s="2">
        <f>Dummy_Variables!K245</f>
        <v>0</v>
      </c>
      <c r="L245" s="7">
        <f>Dummy_Variables!L245</f>
        <v>3</v>
      </c>
      <c r="M245" s="2">
        <f>Dummy_Variables!M245</f>
        <v>1</v>
      </c>
      <c r="N245" s="2">
        <f>Dummy_Variables!N245</f>
        <v>0</v>
      </c>
      <c r="O245" s="2">
        <f>Dummy_Variables!O245</f>
        <v>0</v>
      </c>
      <c r="P245" s="7">
        <f t="shared" si="12"/>
        <v>769564.8291600754</v>
      </c>
      <c r="Q245" s="7">
        <f t="shared" si="13"/>
        <v>-6404.90916007536</v>
      </c>
      <c r="R245" s="7">
        <f t="shared" si="14"/>
        <v>6404.90916007536</v>
      </c>
      <c r="S245" s="2" t="str">
        <f t="shared" si="15"/>
        <v>Negative residual - actual below prediction</v>
      </c>
      <c r="T245" s="2"/>
      <c r="U245" s="2"/>
      <c r="V245" s="2"/>
    </row>
    <row r="246" spans="1:22" x14ac:dyDescent="0.35">
      <c r="A246" s="2" t="str">
        <f>Dummy_Variables!A246</f>
        <v>STR-1062</v>
      </c>
      <c r="B246" s="2" t="str">
        <f>Dummy_Variables!B246</f>
        <v>2025-01</v>
      </c>
      <c r="C246" s="2" t="str">
        <f>Dummy_Variables!C246</f>
        <v>East</v>
      </c>
      <c r="D246" s="2" t="str">
        <f>Dummy_Variables!D246</f>
        <v>High Street</v>
      </c>
      <c r="E246" s="7">
        <f>Dummy_Variables!E246</f>
        <v>802001.68</v>
      </c>
      <c r="F246" s="7">
        <f>Dummy_Variables!F246</f>
        <v>76942.2</v>
      </c>
      <c r="G246" s="7">
        <f>Dummy_Variables!G246</f>
        <v>8934</v>
      </c>
      <c r="H246" s="7">
        <f>Dummy_Variables!H246</f>
        <v>8.4000000000000005E-2</v>
      </c>
      <c r="I246" s="7">
        <f>Dummy_Variables!I246</f>
        <v>20</v>
      </c>
      <c r="J246" s="7">
        <f>Dummy_Variables!J246</f>
        <v>91</v>
      </c>
      <c r="K246" s="2">
        <f>Dummy_Variables!K246</f>
        <v>0</v>
      </c>
      <c r="L246" s="7">
        <f>Dummy_Variables!L246</f>
        <v>3.2</v>
      </c>
      <c r="M246" s="2">
        <f>Dummy_Variables!M246</f>
        <v>0</v>
      </c>
      <c r="N246" s="2">
        <f>Dummy_Variables!N246</f>
        <v>1</v>
      </c>
      <c r="O246" s="2">
        <f>Dummy_Variables!O246</f>
        <v>0</v>
      </c>
      <c r="P246" s="7">
        <f t="shared" si="12"/>
        <v>783413.50212814601</v>
      </c>
      <c r="Q246" s="7">
        <f t="shared" si="13"/>
        <v>18588.177871854044</v>
      </c>
      <c r="R246" s="7">
        <f t="shared" si="14"/>
        <v>18588.177871854044</v>
      </c>
      <c r="S246" s="2" t="str">
        <f t="shared" si="15"/>
        <v>Positive residual - actual above prediction</v>
      </c>
      <c r="T246" s="2"/>
      <c r="U246" s="2"/>
      <c r="V246" s="2"/>
    </row>
    <row r="247" spans="1:22" x14ac:dyDescent="0.35">
      <c r="A247" s="2" t="str">
        <f>Dummy_Variables!A247</f>
        <v>STR-1062</v>
      </c>
      <c r="B247" s="2" t="str">
        <f>Dummy_Variables!B247</f>
        <v>2025-02</v>
      </c>
      <c r="C247" s="2" t="str">
        <f>Dummy_Variables!C247</f>
        <v>East</v>
      </c>
      <c r="D247" s="2" t="str">
        <f>Dummy_Variables!D247</f>
        <v>High Street</v>
      </c>
      <c r="E247" s="7">
        <f>Dummy_Variables!E247</f>
        <v>750471.34</v>
      </c>
      <c r="F247" s="7">
        <f>Dummy_Variables!F247</f>
        <v>48060.78</v>
      </c>
      <c r="G247" s="7">
        <f>Dummy_Variables!G247</f>
        <v>8733</v>
      </c>
      <c r="H247" s="7">
        <f>Dummy_Variables!H247</f>
        <v>0</v>
      </c>
      <c r="I247" s="7">
        <f>Dummy_Variables!I247</f>
        <v>20</v>
      </c>
      <c r="J247" s="7">
        <f>Dummy_Variables!J247</f>
        <v>89.9</v>
      </c>
      <c r="K247" s="2">
        <f>Dummy_Variables!K247</f>
        <v>0</v>
      </c>
      <c r="L247" s="7">
        <f>Dummy_Variables!L247</f>
        <v>3.4</v>
      </c>
      <c r="M247" s="2">
        <f>Dummy_Variables!M247</f>
        <v>0</v>
      </c>
      <c r="N247" s="2">
        <f>Dummy_Variables!N247</f>
        <v>1</v>
      </c>
      <c r="O247" s="2">
        <f>Dummy_Variables!O247</f>
        <v>0</v>
      </c>
      <c r="P247" s="7">
        <f t="shared" si="12"/>
        <v>749070.64386673504</v>
      </c>
      <c r="Q247" s="7">
        <f t="shared" si="13"/>
        <v>1400.6961332649225</v>
      </c>
      <c r="R247" s="7">
        <f t="shared" si="14"/>
        <v>1400.6961332649225</v>
      </c>
      <c r="S247" s="2" t="str">
        <f t="shared" si="15"/>
        <v>Positive residual - actual above prediction</v>
      </c>
      <c r="T247" s="2"/>
      <c r="U247" s="2"/>
      <c r="V247" s="2"/>
    </row>
    <row r="248" spans="1:22" x14ac:dyDescent="0.35">
      <c r="A248" s="2" t="str">
        <f>Dummy_Variables!A248</f>
        <v>STR-1062</v>
      </c>
      <c r="B248" s="2" t="str">
        <f>Dummy_Variables!B248</f>
        <v>2025-03</v>
      </c>
      <c r="C248" s="2" t="str">
        <f>Dummy_Variables!C248</f>
        <v>East</v>
      </c>
      <c r="D248" s="2" t="str">
        <f>Dummy_Variables!D248</f>
        <v>High Street</v>
      </c>
      <c r="E248" s="7">
        <f>Dummy_Variables!E248</f>
        <v>679230.86</v>
      </c>
      <c r="F248" s="7">
        <f>Dummy_Variables!F248</f>
        <v>57390.04</v>
      </c>
      <c r="G248" s="7">
        <f>Dummy_Variables!G248</f>
        <v>7374</v>
      </c>
      <c r="H248" s="7">
        <f>Dummy_Variables!H248</f>
        <v>0.21</v>
      </c>
      <c r="I248" s="7">
        <f>Dummy_Variables!I248</f>
        <v>21</v>
      </c>
      <c r="J248" s="7">
        <f>Dummy_Variables!J248</f>
        <v>91.8</v>
      </c>
      <c r="K248" s="2">
        <f>Dummy_Variables!K248</f>
        <v>0</v>
      </c>
      <c r="L248" s="7">
        <f>Dummy_Variables!L248</f>
        <v>3.1</v>
      </c>
      <c r="M248" s="2">
        <f>Dummy_Variables!M248</f>
        <v>0</v>
      </c>
      <c r="N248" s="2">
        <f>Dummy_Variables!N248</f>
        <v>1</v>
      </c>
      <c r="O248" s="2">
        <f>Dummy_Variables!O248</f>
        <v>0</v>
      </c>
      <c r="P248" s="7">
        <f t="shared" si="12"/>
        <v>712181.99923082744</v>
      </c>
      <c r="Q248" s="7">
        <f t="shared" si="13"/>
        <v>-32951.139230827452</v>
      </c>
      <c r="R248" s="7">
        <f t="shared" si="14"/>
        <v>32951.139230827452</v>
      </c>
      <c r="S248" s="2" t="str">
        <f t="shared" si="15"/>
        <v>Negative residual - actual below prediction</v>
      </c>
      <c r="T248" s="2"/>
      <c r="U248" s="2"/>
      <c r="V248" s="2"/>
    </row>
    <row r="249" spans="1:22" x14ac:dyDescent="0.35">
      <c r="A249" s="2" t="str">
        <f>Dummy_Variables!A249</f>
        <v>STR-1062</v>
      </c>
      <c r="B249" s="2" t="str">
        <f>Dummy_Variables!B249</f>
        <v>2025-04</v>
      </c>
      <c r="C249" s="2" t="str">
        <f>Dummy_Variables!C249</f>
        <v>East</v>
      </c>
      <c r="D249" s="2" t="str">
        <f>Dummy_Variables!D249</f>
        <v>High Street</v>
      </c>
      <c r="E249" s="7">
        <f>Dummy_Variables!E249</f>
        <v>679888.74</v>
      </c>
      <c r="F249" s="7">
        <f>Dummy_Variables!F249</f>
        <v>21536.18</v>
      </c>
      <c r="G249" s="7">
        <f>Dummy_Variables!G249</f>
        <v>8119</v>
      </c>
      <c r="H249" s="7">
        <f>Dummy_Variables!H249</f>
        <v>0.22700000000000001</v>
      </c>
      <c r="I249" s="7">
        <f>Dummy_Variables!I249</f>
        <v>20</v>
      </c>
      <c r="J249" s="7">
        <f>Dummy_Variables!J249</f>
        <v>90.4</v>
      </c>
      <c r="K249" s="2">
        <f>Dummy_Variables!K249</f>
        <v>0</v>
      </c>
      <c r="L249" s="7">
        <f>Dummy_Variables!L249</f>
        <v>3.3</v>
      </c>
      <c r="M249" s="2">
        <f>Dummy_Variables!M249</f>
        <v>0</v>
      </c>
      <c r="N249" s="2">
        <f>Dummy_Variables!N249</f>
        <v>1</v>
      </c>
      <c r="O249" s="2">
        <f>Dummy_Variables!O249</f>
        <v>0</v>
      </c>
      <c r="P249" s="7">
        <f t="shared" si="12"/>
        <v>686328.59621381329</v>
      </c>
      <c r="Q249" s="7">
        <f t="shared" si="13"/>
        <v>-6439.8562138132984</v>
      </c>
      <c r="R249" s="7">
        <f t="shared" si="14"/>
        <v>6439.8562138132984</v>
      </c>
      <c r="S249" s="2" t="str">
        <f t="shared" si="15"/>
        <v>Negative residual - actual below prediction</v>
      </c>
      <c r="T249" s="2"/>
      <c r="U249" s="2"/>
      <c r="V249" s="2"/>
    </row>
    <row r="250" spans="1:22" x14ac:dyDescent="0.35">
      <c r="A250" s="2" t="str">
        <f>Dummy_Variables!A250</f>
        <v>STR-1063</v>
      </c>
      <c r="B250" s="2" t="str">
        <f>Dummy_Variables!B250</f>
        <v>2025-01</v>
      </c>
      <c r="C250" s="2" t="str">
        <f>Dummy_Variables!C250</f>
        <v>North</v>
      </c>
      <c r="D250" s="2" t="str">
        <f>Dummy_Variables!D250</f>
        <v>High Street</v>
      </c>
      <c r="E250" s="7">
        <f>Dummy_Variables!E250</f>
        <v>606783.67000000004</v>
      </c>
      <c r="F250" s="7">
        <f>Dummy_Variables!F250</f>
        <v>40923.67</v>
      </c>
      <c r="G250" s="7">
        <f>Dummy_Variables!G250</f>
        <v>3875</v>
      </c>
      <c r="H250" s="7">
        <f>Dummy_Variables!H250</f>
        <v>0.15</v>
      </c>
      <c r="I250" s="7">
        <f>Dummy_Variables!I250</f>
        <v>10</v>
      </c>
      <c r="J250" s="7">
        <f>Dummy_Variables!J250</f>
        <v>96.1</v>
      </c>
      <c r="K250" s="2">
        <f>Dummy_Variables!K250</f>
        <v>0</v>
      </c>
      <c r="L250" s="7">
        <f>Dummy_Variables!L250</f>
        <v>3.8</v>
      </c>
      <c r="M250" s="2">
        <f>Dummy_Variables!M250</f>
        <v>0</v>
      </c>
      <c r="N250" s="2">
        <f>Dummy_Variables!N250</f>
        <v>1</v>
      </c>
      <c r="O250" s="2">
        <f>Dummy_Variables!O250</f>
        <v>0</v>
      </c>
      <c r="P250" s="7">
        <f t="shared" si="12"/>
        <v>588641.05090959498</v>
      </c>
      <c r="Q250" s="7">
        <f t="shared" si="13"/>
        <v>18142.61909040506</v>
      </c>
      <c r="R250" s="7">
        <f t="shared" si="14"/>
        <v>18142.61909040506</v>
      </c>
      <c r="S250" s="2" t="str">
        <f t="shared" si="15"/>
        <v>Positive residual - actual above prediction</v>
      </c>
      <c r="T250" s="2"/>
      <c r="U250" s="2"/>
      <c r="V250" s="2"/>
    </row>
    <row r="251" spans="1:22" x14ac:dyDescent="0.35">
      <c r="A251" s="2" t="str">
        <f>Dummy_Variables!A251</f>
        <v>STR-1063</v>
      </c>
      <c r="B251" s="2" t="str">
        <f>Dummy_Variables!B251</f>
        <v>2025-02</v>
      </c>
      <c r="C251" s="2" t="str">
        <f>Dummy_Variables!C251</f>
        <v>North</v>
      </c>
      <c r="D251" s="2" t="str">
        <f>Dummy_Variables!D251</f>
        <v>High Street</v>
      </c>
      <c r="E251" s="7">
        <f>Dummy_Variables!E251</f>
        <v>642751.42000000004</v>
      </c>
      <c r="F251" s="7">
        <f>Dummy_Variables!F251</f>
        <v>72932.55</v>
      </c>
      <c r="G251" s="7">
        <f>Dummy_Variables!G251</f>
        <v>5765</v>
      </c>
      <c r="H251" s="7">
        <f>Dummy_Variables!H251</f>
        <v>2.5999999999999999E-2</v>
      </c>
      <c r="I251" s="7">
        <f>Dummy_Variables!I251</f>
        <v>17</v>
      </c>
      <c r="J251" s="7">
        <f>Dummy_Variables!J251</f>
        <v>81.8</v>
      </c>
      <c r="K251" s="2">
        <f>Dummy_Variables!K251</f>
        <v>0</v>
      </c>
      <c r="L251" s="7">
        <f>Dummy_Variables!L251</f>
        <v>3.6</v>
      </c>
      <c r="M251" s="2">
        <f>Dummy_Variables!M251</f>
        <v>0</v>
      </c>
      <c r="N251" s="2">
        <f>Dummy_Variables!N251</f>
        <v>1</v>
      </c>
      <c r="O251" s="2">
        <f>Dummy_Variables!O251</f>
        <v>0</v>
      </c>
      <c r="P251" s="7">
        <f t="shared" si="12"/>
        <v>661503.06571467058</v>
      </c>
      <c r="Q251" s="7">
        <f t="shared" si="13"/>
        <v>-18751.645714670536</v>
      </c>
      <c r="R251" s="7">
        <f t="shared" si="14"/>
        <v>18751.645714670536</v>
      </c>
      <c r="S251" s="2" t="str">
        <f t="shared" si="15"/>
        <v>Negative residual - actual below prediction</v>
      </c>
      <c r="T251" s="2"/>
      <c r="U251" s="2"/>
      <c r="V251" s="2"/>
    </row>
    <row r="252" spans="1:22" x14ac:dyDescent="0.35">
      <c r="A252" s="2" t="str">
        <f>Dummy_Variables!A252</f>
        <v>STR-1063</v>
      </c>
      <c r="B252" s="2" t="str">
        <f>Dummy_Variables!B252</f>
        <v>2025-03</v>
      </c>
      <c r="C252" s="2" t="str">
        <f>Dummy_Variables!C252</f>
        <v>North</v>
      </c>
      <c r="D252" s="2" t="str">
        <f>Dummy_Variables!D252</f>
        <v>High Street</v>
      </c>
      <c r="E252" s="7">
        <f>Dummy_Variables!E252</f>
        <v>647953.78</v>
      </c>
      <c r="F252" s="7">
        <f>Dummy_Variables!F252</f>
        <v>38361.93</v>
      </c>
      <c r="G252" s="7">
        <f>Dummy_Variables!G252</f>
        <v>6322</v>
      </c>
      <c r="H252" s="7">
        <f>Dummy_Variables!H252</f>
        <v>0.27300000000000002</v>
      </c>
      <c r="I252" s="7">
        <f>Dummy_Variables!I252</f>
        <v>15</v>
      </c>
      <c r="J252" s="7">
        <f>Dummy_Variables!J252</f>
        <v>88.4</v>
      </c>
      <c r="K252" s="2">
        <f>Dummy_Variables!K252</f>
        <v>0</v>
      </c>
      <c r="L252" s="7">
        <f>Dummy_Variables!L252</f>
        <v>4</v>
      </c>
      <c r="M252" s="2">
        <f>Dummy_Variables!M252</f>
        <v>0</v>
      </c>
      <c r="N252" s="2">
        <f>Dummy_Variables!N252</f>
        <v>1</v>
      </c>
      <c r="O252" s="2">
        <f>Dummy_Variables!O252</f>
        <v>0</v>
      </c>
      <c r="P252" s="7">
        <f t="shared" si="12"/>
        <v>640672.26621817786</v>
      </c>
      <c r="Q252" s="7">
        <f t="shared" si="13"/>
        <v>7281.5137818221701</v>
      </c>
      <c r="R252" s="7">
        <f t="shared" si="14"/>
        <v>7281.5137818221701</v>
      </c>
      <c r="S252" s="2" t="str">
        <f t="shared" si="15"/>
        <v>Positive residual - actual above prediction</v>
      </c>
      <c r="T252" s="2"/>
      <c r="U252" s="2"/>
      <c r="V252" s="2"/>
    </row>
    <row r="253" spans="1:22" x14ac:dyDescent="0.35">
      <c r="A253" s="2" t="str">
        <f>Dummy_Variables!A253</f>
        <v>STR-1063</v>
      </c>
      <c r="B253" s="2" t="str">
        <f>Dummy_Variables!B253</f>
        <v>2025-04</v>
      </c>
      <c r="C253" s="2" t="str">
        <f>Dummy_Variables!C253</f>
        <v>North</v>
      </c>
      <c r="D253" s="2" t="str">
        <f>Dummy_Variables!D253</f>
        <v>High Street</v>
      </c>
      <c r="E253" s="7">
        <f>Dummy_Variables!E253</f>
        <v>729440.45</v>
      </c>
      <c r="F253" s="7">
        <f>Dummy_Variables!F253</f>
        <v>97480.94</v>
      </c>
      <c r="G253" s="7">
        <f>Dummy_Variables!G253</f>
        <v>6840</v>
      </c>
      <c r="H253" s="7">
        <f>Dummy_Variables!H253</f>
        <v>8.6999999999999994E-2</v>
      </c>
      <c r="I253" s="7">
        <f>Dummy_Variables!I253</f>
        <v>14</v>
      </c>
      <c r="J253" s="7">
        <f>Dummy_Variables!J253</f>
        <v>79.2</v>
      </c>
      <c r="K253" s="2">
        <f>Dummy_Variables!K253</f>
        <v>0</v>
      </c>
      <c r="L253" s="7">
        <f>Dummy_Variables!L253</f>
        <v>4</v>
      </c>
      <c r="M253" s="2">
        <f>Dummy_Variables!M253</f>
        <v>0</v>
      </c>
      <c r="N253" s="2">
        <f>Dummy_Variables!N253</f>
        <v>1</v>
      </c>
      <c r="O253" s="2">
        <f>Dummy_Variables!O253</f>
        <v>0</v>
      </c>
      <c r="P253" s="7">
        <f t="shared" si="12"/>
        <v>705340.95341402211</v>
      </c>
      <c r="Q253" s="7">
        <f t="shared" si="13"/>
        <v>24099.496585977846</v>
      </c>
      <c r="R253" s="7">
        <f t="shared" si="14"/>
        <v>24099.496585977846</v>
      </c>
      <c r="S253" s="2" t="str">
        <f t="shared" si="15"/>
        <v>Positive residual - actual above prediction</v>
      </c>
      <c r="T253" s="2"/>
      <c r="U253" s="2"/>
      <c r="V253" s="2"/>
    </row>
    <row r="254" spans="1:22" x14ac:dyDescent="0.35">
      <c r="A254" s="2" t="str">
        <f>Dummy_Variables!A254</f>
        <v>STR-1064</v>
      </c>
      <c r="B254" s="2" t="str">
        <f>Dummy_Variables!B254</f>
        <v>2025-01</v>
      </c>
      <c r="C254" s="2" t="str">
        <f>Dummy_Variables!C254</f>
        <v>South</v>
      </c>
      <c r="D254" s="2" t="str">
        <f>Dummy_Variables!D254</f>
        <v>Airport</v>
      </c>
      <c r="E254" s="7">
        <f>Dummy_Variables!E254</f>
        <v>764949</v>
      </c>
      <c r="F254" s="7">
        <f>Dummy_Variables!F254</f>
        <v>81801.8</v>
      </c>
      <c r="G254" s="7">
        <f>Dummy_Variables!G254</f>
        <v>6782</v>
      </c>
      <c r="H254" s="7">
        <f>Dummy_Variables!H254</f>
        <v>0.05</v>
      </c>
      <c r="I254" s="7">
        <f>Dummy_Variables!I254</f>
        <v>16</v>
      </c>
      <c r="J254" s="7">
        <f>Dummy_Variables!J254</f>
        <v>99</v>
      </c>
      <c r="K254" s="2">
        <f>Dummy_Variables!K254</f>
        <v>0</v>
      </c>
      <c r="L254" s="7">
        <f>Dummy_Variables!L254</f>
        <v>3.7</v>
      </c>
      <c r="M254" s="2">
        <f>Dummy_Variables!M254</f>
        <v>1</v>
      </c>
      <c r="N254" s="2">
        <f>Dummy_Variables!N254</f>
        <v>0</v>
      </c>
      <c r="O254" s="2">
        <f>Dummy_Variables!O254</f>
        <v>0</v>
      </c>
      <c r="P254" s="7">
        <f t="shared" si="12"/>
        <v>770696.22063073353</v>
      </c>
      <c r="Q254" s="7">
        <f t="shared" si="13"/>
        <v>-5747.2206307335291</v>
      </c>
      <c r="R254" s="7">
        <f t="shared" si="14"/>
        <v>5747.2206307335291</v>
      </c>
      <c r="S254" s="2" t="str">
        <f t="shared" si="15"/>
        <v>Negative residual - actual below prediction</v>
      </c>
      <c r="T254" s="2"/>
      <c r="U254" s="2"/>
      <c r="V254" s="2"/>
    </row>
    <row r="255" spans="1:22" x14ac:dyDescent="0.35">
      <c r="A255" s="2" t="str">
        <f>Dummy_Variables!A255</f>
        <v>STR-1064</v>
      </c>
      <c r="B255" s="2" t="str">
        <f>Dummy_Variables!B255</f>
        <v>2025-02</v>
      </c>
      <c r="C255" s="2" t="str">
        <f>Dummy_Variables!C255</f>
        <v>South</v>
      </c>
      <c r="D255" s="2" t="str">
        <f>Dummy_Variables!D255</f>
        <v>Airport</v>
      </c>
      <c r="E255" s="7">
        <f>Dummy_Variables!E255</f>
        <v>799046.94</v>
      </c>
      <c r="F255" s="7">
        <f>Dummy_Variables!F255</f>
        <v>63582.11</v>
      </c>
      <c r="G255" s="7">
        <f>Dummy_Variables!G255</f>
        <v>6856</v>
      </c>
      <c r="H255" s="7">
        <f>Dummy_Variables!H255</f>
        <v>7.3999999999999996E-2</v>
      </c>
      <c r="I255" s="7">
        <f>Dummy_Variables!I255</f>
        <v>17</v>
      </c>
      <c r="J255" s="7">
        <f>Dummy_Variables!J255</f>
        <v>89.5</v>
      </c>
      <c r="K255" s="2">
        <f>Dummy_Variables!K255</f>
        <v>0</v>
      </c>
      <c r="L255" s="7">
        <f>Dummy_Variables!L255</f>
        <v>3.2</v>
      </c>
      <c r="M255" s="2">
        <f>Dummy_Variables!M255</f>
        <v>1</v>
      </c>
      <c r="N255" s="2">
        <f>Dummy_Variables!N255</f>
        <v>0</v>
      </c>
      <c r="O255" s="2">
        <f>Dummy_Variables!O255</f>
        <v>0</v>
      </c>
      <c r="P255" s="7">
        <f t="shared" si="12"/>
        <v>717831.12668395054</v>
      </c>
      <c r="Q255" s="7">
        <f t="shared" si="13"/>
        <v>81215.813316049404</v>
      </c>
      <c r="R255" s="7">
        <f t="shared" si="14"/>
        <v>81215.813316049404</v>
      </c>
      <c r="S255" s="2" t="str">
        <f t="shared" si="15"/>
        <v>Positive residual - actual above prediction</v>
      </c>
      <c r="T255" s="2"/>
      <c r="U255" s="2"/>
      <c r="V255" s="2"/>
    </row>
    <row r="256" spans="1:22" x14ac:dyDescent="0.35">
      <c r="A256" s="2" t="str">
        <f>Dummy_Variables!A256</f>
        <v>STR-1064</v>
      </c>
      <c r="B256" s="2" t="str">
        <f>Dummy_Variables!B256</f>
        <v>2025-03</v>
      </c>
      <c r="C256" s="2" t="str">
        <f>Dummy_Variables!C256</f>
        <v>South</v>
      </c>
      <c r="D256" s="2" t="str">
        <f>Dummy_Variables!D256</f>
        <v>Airport</v>
      </c>
      <c r="E256" s="7">
        <f>Dummy_Variables!E256</f>
        <v>720079.54</v>
      </c>
      <c r="F256" s="7">
        <f>Dummy_Variables!F256</f>
        <v>75412.740000000005</v>
      </c>
      <c r="G256" s="7">
        <f>Dummy_Variables!G256</f>
        <v>5641</v>
      </c>
      <c r="H256" s="7">
        <f>Dummy_Variables!H256</f>
        <v>5.8999999999999997E-2</v>
      </c>
      <c r="I256" s="7">
        <f>Dummy_Variables!I256</f>
        <v>13</v>
      </c>
      <c r="J256" s="7">
        <f>Dummy_Variables!J256</f>
        <v>87.9</v>
      </c>
      <c r="K256" s="2">
        <f>Dummy_Variables!K256</f>
        <v>0</v>
      </c>
      <c r="L256" s="7">
        <f>Dummy_Variables!L256</f>
        <v>3.6</v>
      </c>
      <c r="M256" s="2">
        <f>Dummy_Variables!M256</f>
        <v>1</v>
      </c>
      <c r="N256" s="2">
        <f>Dummy_Variables!N256</f>
        <v>0</v>
      </c>
      <c r="O256" s="2">
        <f>Dummy_Variables!O256</f>
        <v>0</v>
      </c>
      <c r="P256" s="7">
        <f t="shared" si="12"/>
        <v>687048.94098233199</v>
      </c>
      <c r="Q256" s="7">
        <f t="shared" si="13"/>
        <v>33030.59901766805</v>
      </c>
      <c r="R256" s="7">
        <f t="shared" si="14"/>
        <v>33030.59901766805</v>
      </c>
      <c r="S256" s="2" t="str">
        <f t="shared" si="15"/>
        <v>Positive residual - actual above prediction</v>
      </c>
      <c r="T256" s="2"/>
      <c r="U256" s="2"/>
      <c r="V256" s="2"/>
    </row>
    <row r="257" spans="1:22" x14ac:dyDescent="0.35">
      <c r="A257" s="2" t="str">
        <f>Dummy_Variables!A257</f>
        <v>STR-1064</v>
      </c>
      <c r="B257" s="2" t="str">
        <f>Dummy_Variables!B257</f>
        <v>2025-04</v>
      </c>
      <c r="C257" s="2" t="str">
        <f>Dummy_Variables!C257</f>
        <v>South</v>
      </c>
      <c r="D257" s="2" t="str">
        <f>Dummy_Variables!D257</f>
        <v>Airport</v>
      </c>
      <c r="E257" s="7">
        <f>Dummy_Variables!E257</f>
        <v>612390.14</v>
      </c>
      <c r="F257" s="7">
        <f>Dummy_Variables!F257</f>
        <v>36290.080000000002</v>
      </c>
      <c r="G257" s="7">
        <f>Dummy_Variables!G257</f>
        <v>5787</v>
      </c>
      <c r="H257" s="7">
        <f>Dummy_Variables!H257</f>
        <v>0</v>
      </c>
      <c r="I257" s="7">
        <f>Dummy_Variables!I257</f>
        <v>17</v>
      </c>
      <c r="J257" s="7">
        <f>Dummy_Variables!J257</f>
        <v>88.3</v>
      </c>
      <c r="K257" s="2">
        <f>Dummy_Variables!K257</f>
        <v>0</v>
      </c>
      <c r="L257" s="7">
        <f>Dummy_Variables!L257</f>
        <v>4.0999999999999996</v>
      </c>
      <c r="M257" s="2">
        <f>Dummy_Variables!M257</f>
        <v>1</v>
      </c>
      <c r="N257" s="2">
        <f>Dummy_Variables!N257</f>
        <v>0</v>
      </c>
      <c r="O257" s="2">
        <f>Dummy_Variables!O257</f>
        <v>0</v>
      </c>
      <c r="P257" s="7">
        <f t="shared" si="12"/>
        <v>668810.72230015369</v>
      </c>
      <c r="Q257" s="7">
        <f t="shared" si="13"/>
        <v>-56420.582300153677</v>
      </c>
      <c r="R257" s="7">
        <f t="shared" si="14"/>
        <v>56420.582300153677</v>
      </c>
      <c r="S257" s="2" t="str">
        <f t="shared" si="15"/>
        <v>Negative residual - actual below prediction</v>
      </c>
      <c r="T257" s="2"/>
      <c r="U257" s="2"/>
      <c r="V257" s="2"/>
    </row>
    <row r="258" spans="1:22" x14ac:dyDescent="0.35">
      <c r="A258" s="2" t="str">
        <f>Dummy_Variables!A258</f>
        <v>STR-1065</v>
      </c>
      <c r="B258" s="2" t="str">
        <f>Dummy_Variables!B258</f>
        <v>2025-01</v>
      </c>
      <c r="C258" s="2" t="str">
        <f>Dummy_Variables!C258</f>
        <v>South</v>
      </c>
      <c r="D258" s="2" t="str">
        <f>Dummy_Variables!D258</f>
        <v>Mall</v>
      </c>
      <c r="E258" s="7">
        <f>Dummy_Variables!E258</f>
        <v>840108.12</v>
      </c>
      <c r="F258" s="7">
        <f>Dummy_Variables!F258</f>
        <v>65272.58</v>
      </c>
      <c r="G258" s="7">
        <f>Dummy_Variables!G258</f>
        <v>8165</v>
      </c>
      <c r="H258" s="7">
        <f>Dummy_Variables!H258</f>
        <v>5.0999999999999997E-2</v>
      </c>
      <c r="I258" s="7">
        <f>Dummy_Variables!I258</f>
        <v>19</v>
      </c>
      <c r="J258" s="7">
        <f>Dummy_Variables!J258</f>
        <v>87.8</v>
      </c>
      <c r="K258" s="2">
        <f>Dummy_Variables!K258</f>
        <v>1</v>
      </c>
      <c r="L258" s="7">
        <f>Dummy_Variables!L258</f>
        <v>4.3</v>
      </c>
      <c r="M258" s="2">
        <f>Dummy_Variables!M258</f>
        <v>0</v>
      </c>
      <c r="N258" s="2">
        <f>Dummy_Variables!N258</f>
        <v>0</v>
      </c>
      <c r="O258" s="2">
        <f>Dummy_Variables!O258</f>
        <v>1</v>
      </c>
      <c r="P258" s="7">
        <f t="shared" ref="P258:P321" si="16">_xlfn.SINGLE(_xlfn.XLOOKUP("Intercept", $U:$U, $V:$V)) + F258 * _xlfn.SINGLE(_xlfn.XLOOKUP("marketing_spend", $U:$U, $V:$V)) + G258 * _xlfn.SINGLE(_xlfn.XLOOKUP("footfall", $U:$U, $V:$V)) + H258 * _xlfn.SINGLE(_xlfn.XLOOKUP("avg_discount_pct", $U:$U, $V:$V)) + I258 * _xlfn.SINGLE(_xlfn.XLOOKUP("staff_count", $U:$U, $V:$V)) + J258 * _xlfn.SINGLE(_xlfn.XLOOKUP("inventory_availability_pct", $U:$U, $V:$V)) + K258 * _xlfn.SINGLE(_xlfn.XLOOKUP("holiday_flag", $U:$U, $V:$V)) + L258 * _xlfn.SINGLE(_xlfn.XLOOKUP("customer_rating", $U:$U, $V:$V)) + M258 * _xlfn.SINGLE(_xlfn.XLOOKUP("store_type_airport", $U:$U, $V:$V)) + N258 * _xlfn.SINGLE(_xlfn.XLOOKUP("store_type_high_street", $U:$U, $V:$V)) + O258 * _xlfn.SINGLE(_xlfn.XLOOKUP("store_type_mall", $U:$U, $V:$V))</f>
        <v>773017.97926784121</v>
      </c>
      <c r="Q258" s="7">
        <f t="shared" ref="Q258:Q321" si="17">E258-P258</f>
        <v>67090.14073215879</v>
      </c>
      <c r="R258" s="7">
        <f t="shared" ref="R258:R321" si="18">ABS(Q258)</f>
        <v>67090.14073215879</v>
      </c>
      <c r="S258" s="2" t="str">
        <f t="shared" ref="S258:S321" si="19">IF(Q258&gt;0,"Positive residual - actual above prediction",IF(Q258&lt;0,"Negative residual - actual below prediction","No residual"))</f>
        <v>Positive residual - actual above prediction</v>
      </c>
      <c r="T258" s="2"/>
      <c r="U258" s="2"/>
      <c r="V258" s="2"/>
    </row>
    <row r="259" spans="1:22" x14ac:dyDescent="0.35">
      <c r="A259" s="2" t="str">
        <f>Dummy_Variables!A259</f>
        <v>STR-1065</v>
      </c>
      <c r="B259" s="2" t="str">
        <f>Dummy_Variables!B259</f>
        <v>2025-02</v>
      </c>
      <c r="C259" s="2" t="str">
        <f>Dummy_Variables!C259</f>
        <v>South</v>
      </c>
      <c r="D259" s="2" t="str">
        <f>Dummy_Variables!D259</f>
        <v>Mall</v>
      </c>
      <c r="E259" s="7">
        <f>Dummy_Variables!E259</f>
        <v>697888.09</v>
      </c>
      <c r="F259" s="7">
        <f>Dummy_Variables!F259</f>
        <v>28670.43</v>
      </c>
      <c r="G259" s="7">
        <f>Dummy_Variables!G259</f>
        <v>7574</v>
      </c>
      <c r="H259" s="7">
        <f>Dummy_Variables!H259</f>
        <v>0.114</v>
      </c>
      <c r="I259" s="7">
        <f>Dummy_Variables!I259</f>
        <v>19</v>
      </c>
      <c r="J259" s="7">
        <f>Dummy_Variables!J259</f>
        <v>82.7</v>
      </c>
      <c r="K259" s="2">
        <f>Dummy_Variables!K259</f>
        <v>0</v>
      </c>
      <c r="L259" s="7">
        <f>Dummy_Variables!L259</f>
        <v>4.5999999999999996</v>
      </c>
      <c r="M259" s="2">
        <f>Dummy_Variables!M259</f>
        <v>0</v>
      </c>
      <c r="N259" s="2">
        <f>Dummy_Variables!N259</f>
        <v>0</v>
      </c>
      <c r="O259" s="2">
        <f>Dummy_Variables!O259</f>
        <v>1</v>
      </c>
      <c r="P259" s="7">
        <f t="shared" si="16"/>
        <v>686372.64343476424</v>
      </c>
      <c r="Q259" s="7">
        <f t="shared" si="17"/>
        <v>11515.446565235732</v>
      </c>
      <c r="R259" s="7">
        <f t="shared" si="18"/>
        <v>11515.446565235732</v>
      </c>
      <c r="S259" s="2" t="str">
        <f t="shared" si="19"/>
        <v>Positive residual - actual above prediction</v>
      </c>
      <c r="T259" s="2"/>
      <c r="U259" s="2"/>
      <c r="V259" s="2"/>
    </row>
    <row r="260" spans="1:22" x14ac:dyDescent="0.35">
      <c r="A260" s="2" t="str">
        <f>Dummy_Variables!A260</f>
        <v>STR-1065</v>
      </c>
      <c r="B260" s="2" t="str">
        <f>Dummy_Variables!B260</f>
        <v>2025-03</v>
      </c>
      <c r="C260" s="2" t="str">
        <f>Dummy_Variables!C260</f>
        <v>South</v>
      </c>
      <c r="D260" s="2" t="str">
        <f>Dummy_Variables!D260</f>
        <v>Mall</v>
      </c>
      <c r="E260" s="7">
        <f>Dummy_Variables!E260</f>
        <v>746115.59</v>
      </c>
      <c r="F260" s="7">
        <f>Dummy_Variables!F260</f>
        <v>44189.34</v>
      </c>
      <c r="G260" s="7">
        <f>Dummy_Variables!G260</f>
        <v>8634</v>
      </c>
      <c r="H260" s="7">
        <f>Dummy_Variables!H260</f>
        <v>0.14299999999999999</v>
      </c>
      <c r="I260" s="7">
        <f>Dummy_Variables!I260</f>
        <v>19</v>
      </c>
      <c r="J260" s="7">
        <f>Dummy_Variables!J260</f>
        <v>87.5</v>
      </c>
      <c r="K260" s="2">
        <f>Dummy_Variables!K260</f>
        <v>0</v>
      </c>
      <c r="L260" s="7">
        <f>Dummy_Variables!L260</f>
        <v>4.4000000000000004</v>
      </c>
      <c r="M260" s="2">
        <f>Dummy_Variables!M260</f>
        <v>0</v>
      </c>
      <c r="N260" s="2">
        <f>Dummy_Variables!N260</f>
        <v>0</v>
      </c>
      <c r="O260" s="2">
        <f>Dummy_Variables!O260</f>
        <v>1</v>
      </c>
      <c r="P260" s="7">
        <f t="shared" si="16"/>
        <v>744420.69786539115</v>
      </c>
      <c r="Q260" s="7">
        <f t="shared" si="17"/>
        <v>1694.8921346088173</v>
      </c>
      <c r="R260" s="7">
        <f t="shared" si="18"/>
        <v>1694.8921346088173</v>
      </c>
      <c r="S260" s="2" t="str">
        <f t="shared" si="19"/>
        <v>Positive residual - actual above prediction</v>
      </c>
      <c r="T260" s="2"/>
      <c r="U260" s="2"/>
      <c r="V260" s="2"/>
    </row>
    <row r="261" spans="1:22" x14ac:dyDescent="0.35">
      <c r="A261" s="2" t="str">
        <f>Dummy_Variables!A261</f>
        <v>STR-1065</v>
      </c>
      <c r="B261" s="2" t="str">
        <f>Dummy_Variables!B261</f>
        <v>2025-04</v>
      </c>
      <c r="C261" s="2" t="str">
        <f>Dummy_Variables!C261</f>
        <v>South</v>
      </c>
      <c r="D261" s="2" t="str">
        <f>Dummy_Variables!D261</f>
        <v>Mall</v>
      </c>
      <c r="E261" s="7">
        <f>Dummy_Variables!E261</f>
        <v>776110.32</v>
      </c>
      <c r="F261" s="7">
        <f>Dummy_Variables!F261</f>
        <v>38397.82</v>
      </c>
      <c r="G261" s="7">
        <f>Dummy_Variables!G261</f>
        <v>7836</v>
      </c>
      <c r="H261" s="7">
        <f>Dummy_Variables!H261</f>
        <v>7.0000000000000001E-3</v>
      </c>
      <c r="I261" s="7">
        <f>Dummy_Variables!I261</f>
        <v>21</v>
      </c>
      <c r="J261" s="7">
        <f>Dummy_Variables!J261</f>
        <v>92.2</v>
      </c>
      <c r="K261" s="2">
        <f>Dummy_Variables!K261</f>
        <v>0</v>
      </c>
      <c r="L261" s="7">
        <f>Dummy_Variables!L261</f>
        <v>3.6</v>
      </c>
      <c r="M261" s="2">
        <f>Dummy_Variables!M261</f>
        <v>0</v>
      </c>
      <c r="N261" s="2">
        <f>Dummy_Variables!N261</f>
        <v>0</v>
      </c>
      <c r="O261" s="2">
        <f>Dummy_Variables!O261</f>
        <v>1</v>
      </c>
      <c r="P261" s="7">
        <f t="shared" si="16"/>
        <v>733352.77913934051</v>
      </c>
      <c r="Q261" s="7">
        <f t="shared" si="17"/>
        <v>42757.540860659443</v>
      </c>
      <c r="R261" s="7">
        <f t="shared" si="18"/>
        <v>42757.540860659443</v>
      </c>
      <c r="S261" s="2" t="str">
        <f t="shared" si="19"/>
        <v>Positive residual - actual above prediction</v>
      </c>
      <c r="T261" s="2"/>
      <c r="U261" s="2"/>
      <c r="V261" s="2"/>
    </row>
    <row r="262" spans="1:22" x14ac:dyDescent="0.35">
      <c r="A262" s="2" t="str">
        <f>Dummy_Variables!A262</f>
        <v>STR-1066</v>
      </c>
      <c r="B262" s="2" t="str">
        <f>Dummy_Variables!B262</f>
        <v>2025-01</v>
      </c>
      <c r="C262" s="2" t="str">
        <f>Dummy_Variables!C262</f>
        <v>West</v>
      </c>
      <c r="D262" s="2" t="str">
        <f>Dummy_Variables!D262</f>
        <v>High Street</v>
      </c>
      <c r="E262" s="7">
        <f>Dummy_Variables!E262</f>
        <v>528852.62</v>
      </c>
      <c r="F262" s="7">
        <f>Dummy_Variables!F262</f>
        <v>14519.37</v>
      </c>
      <c r="G262" s="7">
        <f>Dummy_Variables!G262</f>
        <v>3047</v>
      </c>
      <c r="H262" s="7">
        <f>Dummy_Variables!H262</f>
        <v>0.13500000000000001</v>
      </c>
      <c r="I262" s="7">
        <f>Dummy_Variables!I262</f>
        <v>10</v>
      </c>
      <c r="J262" s="7">
        <f>Dummy_Variables!J262</f>
        <v>90.3</v>
      </c>
      <c r="K262" s="2">
        <f>Dummy_Variables!K262</f>
        <v>0</v>
      </c>
      <c r="L262" s="7">
        <f>Dummy_Variables!L262</f>
        <v>4.2</v>
      </c>
      <c r="M262" s="2">
        <f>Dummy_Variables!M262</f>
        <v>0</v>
      </c>
      <c r="N262" s="2">
        <f>Dummy_Variables!N262</f>
        <v>1</v>
      </c>
      <c r="O262" s="2">
        <f>Dummy_Variables!O262</f>
        <v>0</v>
      </c>
      <c r="P262" s="7">
        <f t="shared" si="16"/>
        <v>523266.20565511828</v>
      </c>
      <c r="Q262" s="7">
        <f t="shared" si="17"/>
        <v>5586.4143448817194</v>
      </c>
      <c r="R262" s="7">
        <f t="shared" si="18"/>
        <v>5586.4143448817194</v>
      </c>
      <c r="S262" s="2" t="str">
        <f t="shared" si="19"/>
        <v>Positive residual - actual above prediction</v>
      </c>
      <c r="T262" s="2"/>
      <c r="U262" s="2"/>
      <c r="V262" s="2"/>
    </row>
    <row r="263" spans="1:22" x14ac:dyDescent="0.35">
      <c r="A263" s="2" t="str">
        <f>Dummy_Variables!A263</f>
        <v>STR-1066</v>
      </c>
      <c r="B263" s="2" t="str">
        <f>Dummy_Variables!B263</f>
        <v>2025-02</v>
      </c>
      <c r="C263" s="2" t="str">
        <f>Dummy_Variables!C263</f>
        <v>West</v>
      </c>
      <c r="D263" s="2" t="str">
        <f>Dummy_Variables!D263</f>
        <v>High Street</v>
      </c>
      <c r="E263" s="7">
        <f>Dummy_Variables!E263</f>
        <v>605751.32999999996</v>
      </c>
      <c r="F263" s="7">
        <f>Dummy_Variables!F263</f>
        <v>43288.2</v>
      </c>
      <c r="G263" s="7">
        <f>Dummy_Variables!G263</f>
        <v>4783</v>
      </c>
      <c r="H263" s="7">
        <f>Dummy_Variables!H263</f>
        <v>0.16900000000000001</v>
      </c>
      <c r="I263" s="7">
        <f>Dummy_Variables!I263</f>
        <v>13</v>
      </c>
      <c r="J263" s="7">
        <f>Dummy_Variables!J263</f>
        <v>87.3</v>
      </c>
      <c r="K263" s="2">
        <f>Dummy_Variables!K263</f>
        <v>0</v>
      </c>
      <c r="L263" s="7">
        <f>Dummy_Variables!L263</f>
        <v>4.2</v>
      </c>
      <c r="M263" s="2">
        <f>Dummy_Variables!M263</f>
        <v>0</v>
      </c>
      <c r="N263" s="2">
        <f>Dummy_Variables!N263</f>
        <v>1</v>
      </c>
      <c r="O263" s="2">
        <f>Dummy_Variables!O263</f>
        <v>0</v>
      </c>
      <c r="P263" s="7">
        <f t="shared" si="16"/>
        <v>603068.37570260756</v>
      </c>
      <c r="Q263" s="7">
        <f t="shared" si="17"/>
        <v>2682.9542973923963</v>
      </c>
      <c r="R263" s="7">
        <f t="shared" si="18"/>
        <v>2682.9542973923963</v>
      </c>
      <c r="S263" s="2" t="str">
        <f t="shared" si="19"/>
        <v>Positive residual - actual above prediction</v>
      </c>
      <c r="T263" s="2"/>
      <c r="U263" s="2"/>
      <c r="V263" s="2"/>
    </row>
    <row r="264" spans="1:22" x14ac:dyDescent="0.35">
      <c r="A264" s="2" t="str">
        <f>Dummy_Variables!A264</f>
        <v>STR-1066</v>
      </c>
      <c r="B264" s="2" t="str">
        <f>Dummy_Variables!B264</f>
        <v>2025-03</v>
      </c>
      <c r="C264" s="2" t="str">
        <f>Dummy_Variables!C264</f>
        <v>West</v>
      </c>
      <c r="D264" s="2" t="str">
        <f>Dummy_Variables!D264</f>
        <v>High Street</v>
      </c>
      <c r="E264" s="7">
        <f>Dummy_Variables!E264</f>
        <v>677640.65</v>
      </c>
      <c r="F264" s="7">
        <f>Dummy_Variables!F264</f>
        <v>51450.55</v>
      </c>
      <c r="G264" s="7">
        <f>Dummy_Variables!G264</f>
        <v>4902</v>
      </c>
      <c r="H264" s="7">
        <f>Dummy_Variables!H264</f>
        <v>8.5999999999999993E-2</v>
      </c>
      <c r="I264" s="7">
        <f>Dummy_Variables!I264</f>
        <v>11</v>
      </c>
      <c r="J264" s="7">
        <f>Dummy_Variables!J264</f>
        <v>83.7</v>
      </c>
      <c r="K264" s="2">
        <f>Dummy_Variables!K264</f>
        <v>1</v>
      </c>
      <c r="L264" s="7">
        <f>Dummy_Variables!L264</f>
        <v>4.2</v>
      </c>
      <c r="M264" s="2">
        <f>Dummy_Variables!M264</f>
        <v>0</v>
      </c>
      <c r="N264" s="2">
        <f>Dummy_Variables!N264</f>
        <v>1</v>
      </c>
      <c r="O264" s="2">
        <f>Dummy_Variables!O264</f>
        <v>0</v>
      </c>
      <c r="P264" s="7">
        <f t="shared" si="16"/>
        <v>616731.57186074427</v>
      </c>
      <c r="Q264" s="7">
        <f t="shared" si="17"/>
        <v>60909.078139255755</v>
      </c>
      <c r="R264" s="7">
        <f t="shared" si="18"/>
        <v>60909.078139255755</v>
      </c>
      <c r="S264" s="2" t="str">
        <f t="shared" si="19"/>
        <v>Positive residual - actual above prediction</v>
      </c>
      <c r="T264" s="2"/>
      <c r="U264" s="2"/>
      <c r="V264" s="2"/>
    </row>
    <row r="265" spans="1:22" x14ac:dyDescent="0.35">
      <c r="A265" s="2" t="str">
        <f>Dummy_Variables!A265</f>
        <v>STR-1066</v>
      </c>
      <c r="B265" s="2" t="str">
        <f>Dummy_Variables!B265</f>
        <v>2025-04</v>
      </c>
      <c r="C265" s="2" t="str">
        <f>Dummy_Variables!C265</f>
        <v>West</v>
      </c>
      <c r="D265" s="2" t="str">
        <f>Dummy_Variables!D265</f>
        <v>High Street</v>
      </c>
      <c r="E265" s="7">
        <f>Dummy_Variables!E265</f>
        <v>636613.23</v>
      </c>
      <c r="F265" s="7">
        <f>Dummy_Variables!F265</f>
        <v>58688.26</v>
      </c>
      <c r="G265" s="7">
        <f>Dummy_Variables!G265</f>
        <v>4022</v>
      </c>
      <c r="H265" s="7">
        <f>Dummy_Variables!H265</f>
        <v>0.217</v>
      </c>
      <c r="I265" s="7">
        <f>Dummy_Variables!I265</f>
        <v>12</v>
      </c>
      <c r="J265" s="7">
        <f>Dummy_Variables!J265</f>
        <v>93.8</v>
      </c>
      <c r="K265" s="2">
        <f>Dummy_Variables!K265</f>
        <v>0</v>
      </c>
      <c r="L265" s="7">
        <f>Dummy_Variables!L265</f>
        <v>3.7</v>
      </c>
      <c r="M265" s="2">
        <f>Dummy_Variables!M265</f>
        <v>0</v>
      </c>
      <c r="N265" s="2">
        <f>Dummy_Variables!N265</f>
        <v>1</v>
      </c>
      <c r="O265" s="2">
        <f>Dummy_Variables!O265</f>
        <v>0</v>
      </c>
      <c r="P265" s="7">
        <f t="shared" si="16"/>
        <v>606398.01387188002</v>
      </c>
      <c r="Q265" s="7">
        <f t="shared" si="17"/>
        <v>30215.216128119966</v>
      </c>
      <c r="R265" s="7">
        <f t="shared" si="18"/>
        <v>30215.216128119966</v>
      </c>
      <c r="S265" s="2" t="str">
        <f t="shared" si="19"/>
        <v>Positive residual - actual above prediction</v>
      </c>
      <c r="T265" s="2"/>
      <c r="U265" s="2"/>
      <c r="V265" s="2"/>
    </row>
    <row r="266" spans="1:22" x14ac:dyDescent="0.35">
      <c r="A266" s="2" t="str">
        <f>Dummy_Variables!A266</f>
        <v>STR-1067</v>
      </c>
      <c r="B266" s="2" t="str">
        <f>Dummy_Variables!B266</f>
        <v>2025-01</v>
      </c>
      <c r="C266" s="2" t="str">
        <f>Dummy_Variables!C266</f>
        <v>East</v>
      </c>
      <c r="D266" s="2" t="str">
        <f>Dummy_Variables!D266</f>
        <v>High Street</v>
      </c>
      <c r="E266" s="7">
        <f>Dummy_Variables!E266</f>
        <v>708985.19</v>
      </c>
      <c r="F266" s="7">
        <f>Dummy_Variables!F266</f>
        <v>58981.91</v>
      </c>
      <c r="G266" s="7">
        <f>Dummy_Variables!G266</f>
        <v>7324</v>
      </c>
      <c r="H266" s="7">
        <f>Dummy_Variables!H266</f>
        <v>9.4E-2</v>
      </c>
      <c r="I266" s="7">
        <f>Dummy_Variables!I266</f>
        <v>15</v>
      </c>
      <c r="J266" s="7">
        <f>Dummy_Variables!J266</f>
        <v>95.8</v>
      </c>
      <c r="K266" s="2">
        <f>Dummy_Variables!K266</f>
        <v>0</v>
      </c>
      <c r="L266" s="7">
        <f>Dummy_Variables!L266</f>
        <v>3.5</v>
      </c>
      <c r="M266" s="2">
        <f>Dummy_Variables!M266</f>
        <v>0</v>
      </c>
      <c r="N266" s="2">
        <f>Dummy_Variables!N266</f>
        <v>1</v>
      </c>
      <c r="O266" s="2">
        <f>Dummy_Variables!O266</f>
        <v>0</v>
      </c>
      <c r="P266" s="7">
        <f t="shared" si="16"/>
        <v>720498.6941234956</v>
      </c>
      <c r="Q266" s="7">
        <f t="shared" si="17"/>
        <v>-11513.504123495659</v>
      </c>
      <c r="R266" s="7">
        <f t="shared" si="18"/>
        <v>11513.504123495659</v>
      </c>
      <c r="S266" s="2" t="str">
        <f t="shared" si="19"/>
        <v>Negative residual - actual below prediction</v>
      </c>
      <c r="T266" s="2"/>
      <c r="U266" s="2"/>
      <c r="V266" s="2"/>
    </row>
    <row r="267" spans="1:22" x14ac:dyDescent="0.35">
      <c r="A267" s="2" t="str">
        <f>Dummy_Variables!A267</f>
        <v>STR-1067</v>
      </c>
      <c r="B267" s="2" t="str">
        <f>Dummy_Variables!B267</f>
        <v>2025-02</v>
      </c>
      <c r="C267" s="2" t="str">
        <f>Dummy_Variables!C267</f>
        <v>East</v>
      </c>
      <c r="D267" s="2" t="str">
        <f>Dummy_Variables!D267</f>
        <v>High Street</v>
      </c>
      <c r="E267" s="7">
        <f>Dummy_Variables!E267</f>
        <v>767792.94</v>
      </c>
      <c r="F267" s="7">
        <f>Dummy_Variables!F267</f>
        <v>73454.539999999994</v>
      </c>
      <c r="G267" s="7">
        <f>Dummy_Variables!G267</f>
        <v>8129</v>
      </c>
      <c r="H267" s="7">
        <f>Dummy_Variables!H267</f>
        <v>0.21099999999999999</v>
      </c>
      <c r="I267" s="7">
        <f>Dummy_Variables!I267</f>
        <v>20</v>
      </c>
      <c r="J267" s="7">
        <f>Dummy_Variables!J267</f>
        <v>85.2</v>
      </c>
      <c r="K267" s="2">
        <f>Dummy_Variables!K267</f>
        <v>0</v>
      </c>
      <c r="L267" s="7">
        <f>Dummy_Variables!L267</f>
        <v>3.7</v>
      </c>
      <c r="M267" s="2">
        <f>Dummy_Variables!M267</f>
        <v>0</v>
      </c>
      <c r="N267" s="2">
        <f>Dummy_Variables!N267</f>
        <v>1</v>
      </c>
      <c r="O267" s="2">
        <f>Dummy_Variables!O267</f>
        <v>0</v>
      </c>
      <c r="P267" s="7">
        <f t="shared" si="16"/>
        <v>737220.44338220544</v>
      </c>
      <c r="Q267" s="7">
        <f t="shared" si="17"/>
        <v>30572.496617794503</v>
      </c>
      <c r="R267" s="7">
        <f t="shared" si="18"/>
        <v>30572.496617794503</v>
      </c>
      <c r="S267" s="2" t="str">
        <f t="shared" si="19"/>
        <v>Positive residual - actual above prediction</v>
      </c>
      <c r="T267" s="2"/>
      <c r="U267" s="2"/>
      <c r="V267" s="2"/>
    </row>
    <row r="268" spans="1:22" x14ac:dyDescent="0.35">
      <c r="A268" s="2" t="str">
        <f>Dummy_Variables!A268</f>
        <v>STR-1067</v>
      </c>
      <c r="B268" s="2" t="str">
        <f>Dummy_Variables!B268</f>
        <v>2025-03</v>
      </c>
      <c r="C268" s="2" t="str">
        <f>Dummy_Variables!C268</f>
        <v>East</v>
      </c>
      <c r="D268" s="2" t="str">
        <f>Dummy_Variables!D268</f>
        <v>High Street</v>
      </c>
      <c r="E268" s="7">
        <f>Dummy_Variables!E268</f>
        <v>745580.51</v>
      </c>
      <c r="F268" s="7">
        <f>Dummy_Variables!F268</f>
        <v>56602.39</v>
      </c>
      <c r="G268" s="7">
        <f>Dummy_Variables!G268</f>
        <v>7969</v>
      </c>
      <c r="H268" s="7">
        <f>Dummy_Variables!H268</f>
        <v>0.17</v>
      </c>
      <c r="I268" s="7">
        <f>Dummy_Variables!I268</f>
        <v>21</v>
      </c>
      <c r="J268" s="7">
        <f>Dummy_Variables!J268</f>
        <v>88.3</v>
      </c>
      <c r="K268" s="2">
        <f>Dummy_Variables!K268</f>
        <v>0</v>
      </c>
      <c r="L268" s="7">
        <f>Dummy_Variables!L268</f>
        <v>3.7</v>
      </c>
      <c r="M268" s="2">
        <f>Dummy_Variables!M268</f>
        <v>0</v>
      </c>
      <c r="N268" s="2">
        <f>Dummy_Variables!N268</f>
        <v>1</v>
      </c>
      <c r="O268" s="2">
        <f>Dummy_Variables!O268</f>
        <v>0</v>
      </c>
      <c r="P268" s="7">
        <f t="shared" si="16"/>
        <v>728036.35195906647</v>
      </c>
      <c r="Q268" s="7">
        <f t="shared" si="17"/>
        <v>17544.158040933544</v>
      </c>
      <c r="R268" s="7">
        <f t="shared" si="18"/>
        <v>17544.158040933544</v>
      </c>
      <c r="S268" s="2" t="str">
        <f t="shared" si="19"/>
        <v>Positive residual - actual above prediction</v>
      </c>
      <c r="T268" s="2"/>
      <c r="U268" s="2"/>
      <c r="V268" s="2"/>
    </row>
    <row r="269" spans="1:22" x14ac:dyDescent="0.35">
      <c r="A269" s="2" t="str">
        <f>Dummy_Variables!A269</f>
        <v>STR-1067</v>
      </c>
      <c r="B269" s="2" t="str">
        <f>Dummy_Variables!B269</f>
        <v>2025-04</v>
      </c>
      <c r="C269" s="2" t="str">
        <f>Dummy_Variables!C269</f>
        <v>East</v>
      </c>
      <c r="D269" s="2" t="str">
        <f>Dummy_Variables!D269</f>
        <v>High Street</v>
      </c>
      <c r="E269" s="7">
        <f>Dummy_Variables!E269</f>
        <v>762328.31</v>
      </c>
      <c r="F269" s="7">
        <f>Dummy_Variables!F269</f>
        <v>67722.289999999994</v>
      </c>
      <c r="G269" s="7">
        <f>Dummy_Variables!G269</f>
        <v>7240</v>
      </c>
      <c r="H269" s="7">
        <f>Dummy_Variables!H269</f>
        <v>2.5999999999999999E-2</v>
      </c>
      <c r="I269" s="7">
        <f>Dummy_Variables!I269</f>
        <v>15</v>
      </c>
      <c r="J269" s="7">
        <f>Dummy_Variables!J269</f>
        <v>92.9</v>
      </c>
      <c r="K269" s="2">
        <f>Dummy_Variables!K269</f>
        <v>0</v>
      </c>
      <c r="L269" s="7">
        <f>Dummy_Variables!L269</f>
        <v>3.5</v>
      </c>
      <c r="M269" s="2">
        <f>Dummy_Variables!M269</f>
        <v>0</v>
      </c>
      <c r="N269" s="2">
        <f>Dummy_Variables!N269</f>
        <v>1</v>
      </c>
      <c r="O269" s="2">
        <f>Dummy_Variables!O269</f>
        <v>0</v>
      </c>
      <c r="P269" s="7">
        <f t="shared" si="16"/>
        <v>723915.79167685693</v>
      </c>
      <c r="Q269" s="7">
        <f t="shared" si="17"/>
        <v>38412.518323143129</v>
      </c>
      <c r="R269" s="7">
        <f t="shared" si="18"/>
        <v>38412.518323143129</v>
      </c>
      <c r="S269" s="2" t="str">
        <f t="shared" si="19"/>
        <v>Positive residual - actual above prediction</v>
      </c>
      <c r="T269" s="2"/>
      <c r="U269" s="2"/>
      <c r="V269" s="2"/>
    </row>
    <row r="270" spans="1:22" x14ac:dyDescent="0.35">
      <c r="A270" s="2" t="str">
        <f>Dummy_Variables!A270</f>
        <v>STR-1068</v>
      </c>
      <c r="B270" s="2" t="str">
        <f>Dummy_Variables!B270</f>
        <v>2025-01</v>
      </c>
      <c r="C270" s="2" t="str">
        <f>Dummy_Variables!C270</f>
        <v>East</v>
      </c>
      <c r="D270" s="2" t="str">
        <f>Dummy_Variables!D270</f>
        <v>Mall</v>
      </c>
      <c r="E270" s="7">
        <f>Dummy_Variables!E270</f>
        <v>660633.99</v>
      </c>
      <c r="F270" s="7">
        <f>Dummy_Variables!F270</f>
        <v>48752.92</v>
      </c>
      <c r="G270" s="7">
        <f>Dummy_Variables!G270</f>
        <v>8052</v>
      </c>
      <c r="H270" s="7">
        <f>Dummy_Variables!H270</f>
        <v>0.106</v>
      </c>
      <c r="I270" s="7">
        <f>Dummy_Variables!I270</f>
        <v>16</v>
      </c>
      <c r="J270" s="7">
        <f>Dummy_Variables!J270</f>
        <v>94.9</v>
      </c>
      <c r="K270" s="2">
        <f>Dummy_Variables!K270</f>
        <v>0</v>
      </c>
      <c r="L270" s="7">
        <f>Dummy_Variables!L270</f>
        <v>3.6</v>
      </c>
      <c r="M270" s="2">
        <f>Dummy_Variables!M270</f>
        <v>0</v>
      </c>
      <c r="N270" s="2">
        <f>Dummy_Variables!N270</f>
        <v>0</v>
      </c>
      <c r="O270" s="2">
        <f>Dummy_Variables!O270</f>
        <v>1</v>
      </c>
      <c r="P270" s="7">
        <f t="shared" si="16"/>
        <v>739020.83104401</v>
      </c>
      <c r="Q270" s="7">
        <f t="shared" si="17"/>
        <v>-78386.841044010012</v>
      </c>
      <c r="R270" s="7">
        <f t="shared" si="18"/>
        <v>78386.841044010012</v>
      </c>
      <c r="S270" s="2" t="str">
        <f t="shared" si="19"/>
        <v>Negative residual - actual below prediction</v>
      </c>
      <c r="T270" s="2"/>
      <c r="U270" s="2"/>
      <c r="V270" s="2"/>
    </row>
    <row r="271" spans="1:22" x14ac:dyDescent="0.35">
      <c r="A271" s="2" t="str">
        <f>Dummy_Variables!A271</f>
        <v>STR-1068</v>
      </c>
      <c r="B271" s="2" t="str">
        <f>Dummy_Variables!B271</f>
        <v>2025-02</v>
      </c>
      <c r="C271" s="2" t="str">
        <f>Dummy_Variables!C271</f>
        <v>East</v>
      </c>
      <c r="D271" s="2" t="str">
        <f>Dummy_Variables!D271</f>
        <v>Mall</v>
      </c>
      <c r="E271" s="7">
        <f>Dummy_Variables!E271</f>
        <v>739374.56</v>
      </c>
      <c r="F271" s="7">
        <f>Dummy_Variables!F271</f>
        <v>23914.97</v>
      </c>
      <c r="G271" s="7">
        <f>Dummy_Variables!G271</f>
        <v>8018</v>
      </c>
      <c r="H271" s="7">
        <f>Dummy_Variables!H271</f>
        <v>0.13900000000000001</v>
      </c>
      <c r="I271" s="7">
        <f>Dummy_Variables!I271</f>
        <v>20</v>
      </c>
      <c r="J271" s="7">
        <f>Dummy_Variables!J271</f>
        <v>89</v>
      </c>
      <c r="K271" s="2">
        <f>Dummy_Variables!K271</f>
        <v>0</v>
      </c>
      <c r="L271" s="7">
        <f>Dummy_Variables!L271</f>
        <v>3.5</v>
      </c>
      <c r="M271" s="2">
        <f>Dummy_Variables!M271</f>
        <v>0</v>
      </c>
      <c r="N271" s="2">
        <f>Dummy_Variables!N271</f>
        <v>0</v>
      </c>
      <c r="O271" s="2">
        <f>Dummy_Variables!O271</f>
        <v>1</v>
      </c>
      <c r="P271" s="7">
        <f t="shared" si="16"/>
        <v>699376.69457974576</v>
      </c>
      <c r="Q271" s="7">
        <f t="shared" si="17"/>
        <v>39997.865420254297</v>
      </c>
      <c r="R271" s="7">
        <f t="shared" si="18"/>
        <v>39997.865420254297</v>
      </c>
      <c r="S271" s="2" t="str">
        <f t="shared" si="19"/>
        <v>Positive residual - actual above prediction</v>
      </c>
      <c r="T271" s="2"/>
      <c r="U271" s="2"/>
      <c r="V271" s="2"/>
    </row>
    <row r="272" spans="1:22" x14ac:dyDescent="0.35">
      <c r="A272" s="2" t="str">
        <f>Dummy_Variables!A272</f>
        <v>STR-1068</v>
      </c>
      <c r="B272" s="2" t="str">
        <f>Dummy_Variables!B272</f>
        <v>2025-03</v>
      </c>
      <c r="C272" s="2" t="str">
        <f>Dummy_Variables!C272</f>
        <v>East</v>
      </c>
      <c r="D272" s="2" t="str">
        <f>Dummy_Variables!D272</f>
        <v>Mall</v>
      </c>
      <c r="E272" s="7">
        <f>Dummy_Variables!E272</f>
        <v>799756.46</v>
      </c>
      <c r="F272" s="7">
        <f>Dummy_Variables!F272</f>
        <v>61995.3</v>
      </c>
      <c r="G272" s="7">
        <f>Dummy_Variables!G272</f>
        <v>10192</v>
      </c>
      <c r="H272" s="7">
        <f>Dummy_Variables!H272</f>
        <v>0.19800000000000001</v>
      </c>
      <c r="I272" s="7">
        <f>Dummy_Variables!I272</f>
        <v>21</v>
      </c>
      <c r="J272" s="7">
        <f>Dummy_Variables!J272</f>
        <v>87.6</v>
      </c>
      <c r="K272" s="2">
        <f>Dummy_Variables!K272</f>
        <v>1</v>
      </c>
      <c r="L272" s="7">
        <f>Dummy_Variables!L272</f>
        <v>3.8</v>
      </c>
      <c r="M272" s="2">
        <f>Dummy_Variables!M272</f>
        <v>0</v>
      </c>
      <c r="N272" s="2">
        <f>Dummy_Variables!N272</f>
        <v>0</v>
      </c>
      <c r="O272" s="2">
        <f>Dummy_Variables!O272</f>
        <v>1</v>
      </c>
      <c r="P272" s="7">
        <f t="shared" si="16"/>
        <v>815764.44397434546</v>
      </c>
      <c r="Q272" s="7">
        <f t="shared" si="17"/>
        <v>-16007.983974345494</v>
      </c>
      <c r="R272" s="7">
        <f t="shared" si="18"/>
        <v>16007.983974345494</v>
      </c>
      <c r="S272" s="2" t="str">
        <f t="shared" si="19"/>
        <v>Negative residual - actual below prediction</v>
      </c>
      <c r="T272" s="2"/>
      <c r="U272" s="2"/>
      <c r="V272" s="2"/>
    </row>
    <row r="273" spans="1:22" x14ac:dyDescent="0.35">
      <c r="A273" s="2" t="str">
        <f>Dummy_Variables!A273</f>
        <v>STR-1068</v>
      </c>
      <c r="B273" s="2" t="str">
        <f>Dummy_Variables!B273</f>
        <v>2025-04</v>
      </c>
      <c r="C273" s="2" t="str">
        <f>Dummy_Variables!C273</f>
        <v>East</v>
      </c>
      <c r="D273" s="2" t="str">
        <f>Dummy_Variables!D273</f>
        <v>Mall</v>
      </c>
      <c r="E273" s="7">
        <f>Dummy_Variables!E273</f>
        <v>593343</v>
      </c>
      <c r="F273" s="7">
        <f>Dummy_Variables!F273</f>
        <v>29344.93</v>
      </c>
      <c r="G273" s="7">
        <f>Dummy_Variables!G273</f>
        <v>7446</v>
      </c>
      <c r="H273" s="7">
        <f>Dummy_Variables!H273</f>
        <v>0.111</v>
      </c>
      <c r="I273" s="7">
        <f>Dummy_Variables!I273</f>
        <v>15</v>
      </c>
      <c r="J273" s="7">
        <f>Dummy_Variables!J273</f>
        <v>86.2</v>
      </c>
      <c r="K273" s="2">
        <f>Dummy_Variables!K273</f>
        <v>0</v>
      </c>
      <c r="L273" s="7">
        <f>Dummy_Variables!L273</f>
        <v>3.2</v>
      </c>
      <c r="M273" s="2">
        <f>Dummy_Variables!M273</f>
        <v>0</v>
      </c>
      <c r="N273" s="2">
        <f>Dummy_Variables!N273</f>
        <v>0</v>
      </c>
      <c r="O273" s="2">
        <f>Dummy_Variables!O273</f>
        <v>1</v>
      </c>
      <c r="P273" s="7">
        <f t="shared" si="16"/>
        <v>664765.57478857925</v>
      </c>
      <c r="Q273" s="7">
        <f t="shared" si="17"/>
        <v>-71422.574788579252</v>
      </c>
      <c r="R273" s="7">
        <f t="shared" si="18"/>
        <v>71422.574788579252</v>
      </c>
      <c r="S273" s="2" t="str">
        <f t="shared" si="19"/>
        <v>Negative residual - actual below prediction</v>
      </c>
      <c r="T273" s="2"/>
      <c r="U273" s="2"/>
      <c r="V273" s="2"/>
    </row>
    <row r="274" spans="1:22" x14ac:dyDescent="0.35">
      <c r="A274" s="2" t="str">
        <f>Dummy_Variables!A274</f>
        <v>STR-1069</v>
      </c>
      <c r="B274" s="2" t="str">
        <f>Dummy_Variables!B274</f>
        <v>2025-01</v>
      </c>
      <c r="C274" s="2" t="str">
        <f>Dummy_Variables!C274</f>
        <v>West</v>
      </c>
      <c r="D274" s="2" t="str">
        <f>Dummy_Variables!D274</f>
        <v>High Street</v>
      </c>
      <c r="E274" s="7">
        <f>Dummy_Variables!E274</f>
        <v>645039.97</v>
      </c>
      <c r="F274" s="7">
        <f>Dummy_Variables!F274</f>
        <v>50532.17</v>
      </c>
      <c r="G274" s="7">
        <f>Dummy_Variables!G274</f>
        <v>5689</v>
      </c>
      <c r="H274" s="7">
        <f>Dummy_Variables!H274</f>
        <v>5.1999999999999998E-2</v>
      </c>
      <c r="I274" s="7">
        <f>Dummy_Variables!I274</f>
        <v>17</v>
      </c>
      <c r="J274" s="7">
        <f>Dummy_Variables!J274</f>
        <v>85.6</v>
      </c>
      <c r="K274" s="2">
        <f>Dummy_Variables!K274</f>
        <v>0</v>
      </c>
      <c r="L274" s="7">
        <f>Dummy_Variables!L274</f>
        <v>3.3</v>
      </c>
      <c r="M274" s="2">
        <f>Dummy_Variables!M274</f>
        <v>0</v>
      </c>
      <c r="N274" s="2">
        <f>Dummy_Variables!N274</f>
        <v>1</v>
      </c>
      <c r="O274" s="2">
        <f>Dummy_Variables!O274</f>
        <v>0</v>
      </c>
      <c r="P274" s="7">
        <f t="shared" si="16"/>
        <v>639298.58091305394</v>
      </c>
      <c r="Q274" s="7">
        <f t="shared" si="17"/>
        <v>5741.3890869460301</v>
      </c>
      <c r="R274" s="7">
        <f t="shared" si="18"/>
        <v>5741.3890869460301</v>
      </c>
      <c r="S274" s="2" t="str">
        <f t="shared" si="19"/>
        <v>Positive residual - actual above prediction</v>
      </c>
      <c r="T274" s="2"/>
      <c r="U274" s="2"/>
      <c r="V274" s="2"/>
    </row>
    <row r="275" spans="1:22" x14ac:dyDescent="0.35">
      <c r="A275" s="2" t="str">
        <f>Dummy_Variables!A275</f>
        <v>STR-1069</v>
      </c>
      <c r="B275" s="2" t="str">
        <f>Dummy_Variables!B275</f>
        <v>2025-02</v>
      </c>
      <c r="C275" s="2" t="str">
        <f>Dummy_Variables!C275</f>
        <v>West</v>
      </c>
      <c r="D275" s="2" t="str">
        <f>Dummy_Variables!D275</f>
        <v>High Street</v>
      </c>
      <c r="E275" s="7">
        <f>Dummy_Variables!E275</f>
        <v>561597.32999999996</v>
      </c>
      <c r="F275" s="7">
        <f>Dummy_Variables!F275</f>
        <v>17562.57</v>
      </c>
      <c r="G275" s="7">
        <f>Dummy_Variables!G275</f>
        <v>3326</v>
      </c>
      <c r="H275" s="7">
        <f>Dummy_Variables!H275</f>
        <v>0.153</v>
      </c>
      <c r="I275" s="7">
        <f>Dummy_Variables!I275</f>
        <v>14</v>
      </c>
      <c r="J275" s="7">
        <f>Dummy_Variables!J275</f>
        <v>88.1</v>
      </c>
      <c r="K275" s="2">
        <f>Dummy_Variables!K275</f>
        <v>0</v>
      </c>
      <c r="L275" s="7">
        <f>Dummy_Variables!L275</f>
        <v>3.1</v>
      </c>
      <c r="M275" s="2">
        <f>Dummy_Variables!M275</f>
        <v>0</v>
      </c>
      <c r="N275" s="2">
        <f>Dummy_Variables!N275</f>
        <v>1</v>
      </c>
      <c r="O275" s="2">
        <f>Dummy_Variables!O275</f>
        <v>0</v>
      </c>
      <c r="P275" s="7">
        <f t="shared" si="16"/>
        <v>523895.86893488112</v>
      </c>
      <c r="Q275" s="7">
        <f t="shared" si="17"/>
        <v>37701.461065118841</v>
      </c>
      <c r="R275" s="7">
        <f t="shared" si="18"/>
        <v>37701.461065118841</v>
      </c>
      <c r="S275" s="2" t="str">
        <f t="shared" si="19"/>
        <v>Positive residual - actual above prediction</v>
      </c>
      <c r="T275" s="2"/>
      <c r="U275" s="2"/>
      <c r="V275" s="2"/>
    </row>
    <row r="276" spans="1:22" x14ac:dyDescent="0.35">
      <c r="A276" s="2" t="str">
        <f>Dummy_Variables!A276</f>
        <v>STR-1069</v>
      </c>
      <c r="B276" s="2" t="str">
        <f>Dummy_Variables!B276</f>
        <v>2025-03</v>
      </c>
      <c r="C276" s="2" t="str">
        <f>Dummy_Variables!C276</f>
        <v>West</v>
      </c>
      <c r="D276" s="2" t="str">
        <f>Dummy_Variables!D276</f>
        <v>High Street</v>
      </c>
      <c r="E276" s="7">
        <f>Dummy_Variables!E276</f>
        <v>635837.74</v>
      </c>
      <c r="F276" s="7">
        <f>Dummy_Variables!F276</f>
        <v>47648.71</v>
      </c>
      <c r="G276" s="7">
        <f>Dummy_Variables!G276</f>
        <v>5767</v>
      </c>
      <c r="H276" s="7">
        <f>Dummy_Variables!H276</f>
        <v>0.14099999999999999</v>
      </c>
      <c r="I276" s="7">
        <f>Dummy_Variables!I276</f>
        <v>17</v>
      </c>
      <c r="J276" s="7">
        <f>Dummy_Variables!J276</f>
        <v>89.8</v>
      </c>
      <c r="K276" s="2">
        <f>Dummy_Variables!K276</f>
        <v>0</v>
      </c>
      <c r="L276" s="7">
        <f>Dummy_Variables!L276</f>
        <v>3.1</v>
      </c>
      <c r="M276" s="2">
        <f>Dummy_Variables!M276</f>
        <v>0</v>
      </c>
      <c r="N276" s="2">
        <f>Dummy_Variables!N276</f>
        <v>1</v>
      </c>
      <c r="O276" s="2">
        <f>Dummy_Variables!O276</f>
        <v>0</v>
      </c>
      <c r="P276" s="7">
        <f t="shared" si="16"/>
        <v>642432.92351341492</v>
      </c>
      <c r="Q276" s="7">
        <f t="shared" si="17"/>
        <v>-6595.1835134149296</v>
      </c>
      <c r="R276" s="7">
        <f t="shared" si="18"/>
        <v>6595.1835134149296</v>
      </c>
      <c r="S276" s="2" t="str">
        <f t="shared" si="19"/>
        <v>Negative residual - actual below prediction</v>
      </c>
      <c r="T276" s="2"/>
      <c r="U276" s="2"/>
      <c r="V276" s="2"/>
    </row>
    <row r="277" spans="1:22" x14ac:dyDescent="0.35">
      <c r="A277" s="2" t="str">
        <f>Dummy_Variables!A277</f>
        <v>STR-1069</v>
      </c>
      <c r="B277" s="2" t="str">
        <f>Dummy_Variables!B277</f>
        <v>2025-04</v>
      </c>
      <c r="C277" s="2" t="str">
        <f>Dummy_Variables!C277</f>
        <v>West</v>
      </c>
      <c r="D277" s="2" t="str">
        <f>Dummy_Variables!D277</f>
        <v>High Street</v>
      </c>
      <c r="E277" s="7">
        <f>Dummy_Variables!E277</f>
        <v>686737.87</v>
      </c>
      <c r="F277" s="7">
        <f>Dummy_Variables!F277</f>
        <v>38297.58</v>
      </c>
      <c r="G277" s="7">
        <f>Dummy_Variables!G277</f>
        <v>5893</v>
      </c>
      <c r="H277" s="7">
        <f>Dummy_Variables!H277</f>
        <v>0.247</v>
      </c>
      <c r="I277" s="7">
        <f>Dummy_Variables!I277</f>
        <v>18</v>
      </c>
      <c r="J277" s="7">
        <f>Dummy_Variables!J277</f>
        <v>77.599999999999994</v>
      </c>
      <c r="K277" s="2">
        <f>Dummy_Variables!K277</f>
        <v>0</v>
      </c>
      <c r="L277" s="7">
        <f>Dummy_Variables!L277</f>
        <v>3</v>
      </c>
      <c r="M277" s="2">
        <f>Dummy_Variables!M277</f>
        <v>0</v>
      </c>
      <c r="N277" s="2">
        <f>Dummy_Variables!N277</f>
        <v>1</v>
      </c>
      <c r="O277" s="2">
        <f>Dummy_Variables!O277</f>
        <v>0</v>
      </c>
      <c r="P277" s="7">
        <f t="shared" si="16"/>
        <v>593004.02483563311</v>
      </c>
      <c r="Q277" s="7">
        <f t="shared" si="17"/>
        <v>93733.845164366881</v>
      </c>
      <c r="R277" s="7">
        <f t="shared" si="18"/>
        <v>93733.845164366881</v>
      </c>
      <c r="S277" s="2" t="str">
        <f t="shared" si="19"/>
        <v>Positive residual - actual above prediction</v>
      </c>
      <c r="T277" s="2"/>
      <c r="U277" s="2"/>
      <c r="V277" s="2"/>
    </row>
    <row r="278" spans="1:22" x14ac:dyDescent="0.35">
      <c r="A278" s="2" t="str">
        <f>Dummy_Variables!A278</f>
        <v>STR-1070</v>
      </c>
      <c r="B278" s="2" t="str">
        <f>Dummy_Variables!B278</f>
        <v>2025-01</v>
      </c>
      <c r="C278" s="2" t="str">
        <f>Dummy_Variables!C278</f>
        <v>South</v>
      </c>
      <c r="D278" s="2" t="str">
        <f>Dummy_Variables!D278</f>
        <v>Residential</v>
      </c>
      <c r="E278" s="7">
        <f>Dummy_Variables!E278</f>
        <v>673076.34</v>
      </c>
      <c r="F278" s="7">
        <f>Dummy_Variables!F278</f>
        <v>61784.11</v>
      </c>
      <c r="G278" s="7">
        <f>Dummy_Variables!G278</f>
        <v>8564</v>
      </c>
      <c r="H278" s="7">
        <f>Dummy_Variables!H278</f>
        <v>0.13</v>
      </c>
      <c r="I278" s="7">
        <f>Dummy_Variables!I278</f>
        <v>17</v>
      </c>
      <c r="J278" s="7">
        <f>Dummy_Variables!J278</f>
        <v>87.4</v>
      </c>
      <c r="K278" s="2">
        <f>Dummy_Variables!K278</f>
        <v>1</v>
      </c>
      <c r="L278" s="7">
        <f>Dummy_Variables!L278</f>
        <v>3.4</v>
      </c>
      <c r="M278" s="2">
        <f>Dummy_Variables!M278</f>
        <v>0</v>
      </c>
      <c r="N278" s="2">
        <f>Dummy_Variables!N278</f>
        <v>0</v>
      </c>
      <c r="O278" s="2">
        <f>Dummy_Variables!O278</f>
        <v>0</v>
      </c>
      <c r="P278" s="7">
        <f t="shared" si="16"/>
        <v>729614.93923539657</v>
      </c>
      <c r="Q278" s="7">
        <f t="shared" si="17"/>
        <v>-56538.599235396599</v>
      </c>
      <c r="R278" s="7">
        <f t="shared" si="18"/>
        <v>56538.599235396599</v>
      </c>
      <c r="S278" s="2" t="str">
        <f t="shared" si="19"/>
        <v>Negative residual - actual below prediction</v>
      </c>
      <c r="T278" s="2"/>
      <c r="U278" s="2"/>
      <c r="V278" s="2"/>
    </row>
    <row r="279" spans="1:22" x14ac:dyDescent="0.35">
      <c r="A279" s="2" t="str">
        <f>Dummy_Variables!A279</f>
        <v>STR-1070</v>
      </c>
      <c r="B279" s="2" t="str">
        <f>Dummy_Variables!B279</f>
        <v>2025-02</v>
      </c>
      <c r="C279" s="2" t="str">
        <f>Dummy_Variables!C279</f>
        <v>South</v>
      </c>
      <c r="D279" s="2" t="str">
        <f>Dummy_Variables!D279</f>
        <v>Residential</v>
      </c>
      <c r="E279" s="7">
        <f>Dummy_Variables!E279</f>
        <v>738548.42</v>
      </c>
      <c r="F279" s="7">
        <f>Dummy_Variables!F279</f>
        <v>36832.33</v>
      </c>
      <c r="G279" s="7">
        <f>Dummy_Variables!G279</f>
        <v>8001</v>
      </c>
      <c r="H279" s="7">
        <f>Dummy_Variables!H279</f>
        <v>0</v>
      </c>
      <c r="I279" s="7">
        <f>Dummy_Variables!I279</f>
        <v>19</v>
      </c>
      <c r="J279" s="7">
        <f>Dummy_Variables!J279</f>
        <v>88.7</v>
      </c>
      <c r="K279" s="2">
        <f>Dummy_Variables!K279</f>
        <v>0</v>
      </c>
      <c r="L279" s="7">
        <f>Dummy_Variables!L279</f>
        <v>4</v>
      </c>
      <c r="M279" s="2">
        <f>Dummy_Variables!M279</f>
        <v>0</v>
      </c>
      <c r="N279" s="2">
        <f>Dummy_Variables!N279</f>
        <v>0</v>
      </c>
      <c r="O279" s="2">
        <f>Dummy_Variables!O279</f>
        <v>0</v>
      </c>
      <c r="P279" s="7">
        <f t="shared" si="16"/>
        <v>698697.28706614976</v>
      </c>
      <c r="Q279" s="7">
        <f t="shared" si="17"/>
        <v>39851.132933850284</v>
      </c>
      <c r="R279" s="7">
        <f t="shared" si="18"/>
        <v>39851.132933850284</v>
      </c>
      <c r="S279" s="2" t="str">
        <f t="shared" si="19"/>
        <v>Positive residual - actual above prediction</v>
      </c>
      <c r="T279" s="2"/>
      <c r="U279" s="2"/>
      <c r="V279" s="2"/>
    </row>
    <row r="280" spans="1:22" x14ac:dyDescent="0.35">
      <c r="A280" s="2" t="str">
        <f>Dummy_Variables!A280</f>
        <v>STR-1070</v>
      </c>
      <c r="B280" s="2" t="str">
        <f>Dummy_Variables!B280</f>
        <v>2025-03</v>
      </c>
      <c r="C280" s="2" t="str">
        <f>Dummy_Variables!C280</f>
        <v>South</v>
      </c>
      <c r="D280" s="2" t="str">
        <f>Dummy_Variables!D280</f>
        <v>Residential</v>
      </c>
      <c r="E280" s="7">
        <f>Dummy_Variables!E280</f>
        <v>756619.77</v>
      </c>
      <c r="F280" s="7">
        <f>Dummy_Variables!F280</f>
        <v>48609.41</v>
      </c>
      <c r="G280" s="7">
        <f>Dummy_Variables!G280</f>
        <v>9324</v>
      </c>
      <c r="H280" s="7">
        <f>Dummy_Variables!H280</f>
        <v>0.21299999999999999</v>
      </c>
      <c r="I280" s="7">
        <f>Dummy_Variables!I280</f>
        <v>18</v>
      </c>
      <c r="J280" s="7">
        <f>Dummy_Variables!J280</f>
        <v>86.5</v>
      </c>
      <c r="K280" s="2">
        <f>Dummy_Variables!K280</f>
        <v>0</v>
      </c>
      <c r="L280" s="7">
        <f>Dummy_Variables!L280</f>
        <v>3.9</v>
      </c>
      <c r="M280" s="2">
        <f>Dummy_Variables!M280</f>
        <v>0</v>
      </c>
      <c r="N280" s="2">
        <f>Dummy_Variables!N280</f>
        <v>0</v>
      </c>
      <c r="O280" s="2">
        <f>Dummy_Variables!O280</f>
        <v>0</v>
      </c>
      <c r="P280" s="7">
        <f t="shared" si="16"/>
        <v>725236.36418803711</v>
      </c>
      <c r="Q280" s="7">
        <f t="shared" si="17"/>
        <v>31383.405811962904</v>
      </c>
      <c r="R280" s="7">
        <f t="shared" si="18"/>
        <v>31383.405811962904</v>
      </c>
      <c r="S280" s="2" t="str">
        <f t="shared" si="19"/>
        <v>Positive residual - actual above prediction</v>
      </c>
      <c r="T280" s="2"/>
      <c r="U280" s="2"/>
      <c r="V280" s="2"/>
    </row>
    <row r="281" spans="1:22" x14ac:dyDescent="0.35">
      <c r="A281" s="2" t="str">
        <f>Dummy_Variables!A281</f>
        <v>STR-1070</v>
      </c>
      <c r="B281" s="2" t="str">
        <f>Dummy_Variables!B281</f>
        <v>2025-04</v>
      </c>
      <c r="C281" s="2" t="str">
        <f>Dummy_Variables!C281</f>
        <v>South</v>
      </c>
      <c r="D281" s="2" t="str">
        <f>Dummy_Variables!D281</f>
        <v>Residential</v>
      </c>
      <c r="E281" s="7">
        <f>Dummy_Variables!E281</f>
        <v>761122.42</v>
      </c>
      <c r="F281" s="7">
        <f>Dummy_Variables!F281</f>
        <v>70284.06</v>
      </c>
      <c r="G281" s="7">
        <f>Dummy_Variables!G281</f>
        <v>9109</v>
      </c>
      <c r="H281" s="7">
        <f>Dummy_Variables!H281</f>
        <v>4.0000000000000001E-3</v>
      </c>
      <c r="I281" s="7">
        <f>Dummy_Variables!I281</f>
        <v>23</v>
      </c>
      <c r="J281" s="7">
        <f>Dummy_Variables!J281</f>
        <v>87</v>
      </c>
      <c r="K281" s="2">
        <f>Dummy_Variables!K281</f>
        <v>0</v>
      </c>
      <c r="L281" s="7">
        <f>Dummy_Variables!L281</f>
        <v>3.7</v>
      </c>
      <c r="M281" s="2">
        <f>Dummy_Variables!M281</f>
        <v>0</v>
      </c>
      <c r="N281" s="2">
        <f>Dummy_Variables!N281</f>
        <v>0</v>
      </c>
      <c r="O281" s="2">
        <f>Dummy_Variables!O281</f>
        <v>0</v>
      </c>
      <c r="P281" s="7">
        <f t="shared" si="16"/>
        <v>770874.96944097511</v>
      </c>
      <c r="Q281" s="7">
        <f t="shared" si="17"/>
        <v>-9752.5494409750681</v>
      </c>
      <c r="R281" s="7">
        <f t="shared" si="18"/>
        <v>9752.5494409750681</v>
      </c>
      <c r="S281" s="2" t="str">
        <f t="shared" si="19"/>
        <v>Negative residual - actual below prediction</v>
      </c>
      <c r="T281" s="2"/>
      <c r="U281" s="2"/>
      <c r="V281" s="2"/>
    </row>
    <row r="282" spans="1:22" x14ac:dyDescent="0.35">
      <c r="A282" s="2" t="str">
        <f>Dummy_Variables!A282</f>
        <v>STR-1071</v>
      </c>
      <c r="B282" s="2" t="str">
        <f>Dummy_Variables!B282</f>
        <v>2025-01</v>
      </c>
      <c r="C282" s="2" t="str">
        <f>Dummy_Variables!C282</f>
        <v>South</v>
      </c>
      <c r="D282" s="2" t="str">
        <f>Dummy_Variables!D282</f>
        <v>High Street</v>
      </c>
      <c r="E282" s="7">
        <f>Dummy_Variables!E282</f>
        <v>524899.56999999995</v>
      </c>
      <c r="F282" s="7">
        <f>Dummy_Variables!F282</f>
        <v>45940.39</v>
      </c>
      <c r="G282" s="7">
        <f>Dummy_Variables!G282</f>
        <v>4022</v>
      </c>
      <c r="H282" s="7">
        <f>Dummy_Variables!H282</f>
        <v>6.9000000000000006E-2</v>
      </c>
      <c r="I282" s="7">
        <f>Dummy_Variables!I282</f>
        <v>10</v>
      </c>
      <c r="J282" s="7">
        <f>Dummy_Variables!J282</f>
        <v>83</v>
      </c>
      <c r="K282" s="2">
        <f>Dummy_Variables!K282</f>
        <v>1</v>
      </c>
      <c r="L282" s="7">
        <f>Dummy_Variables!L282</f>
        <v>3.8</v>
      </c>
      <c r="M282" s="2">
        <f>Dummy_Variables!M282</f>
        <v>0</v>
      </c>
      <c r="N282" s="2">
        <f>Dummy_Variables!N282</f>
        <v>1</v>
      </c>
      <c r="O282" s="2">
        <f>Dummy_Variables!O282</f>
        <v>0</v>
      </c>
      <c r="P282" s="7">
        <f t="shared" si="16"/>
        <v>576328.43529379356</v>
      </c>
      <c r="Q282" s="7">
        <f t="shared" si="17"/>
        <v>-51428.865293793613</v>
      </c>
      <c r="R282" s="7">
        <f t="shared" si="18"/>
        <v>51428.865293793613</v>
      </c>
      <c r="S282" s="2" t="str">
        <f t="shared" si="19"/>
        <v>Negative residual - actual below prediction</v>
      </c>
      <c r="T282" s="2"/>
      <c r="U282" s="2"/>
      <c r="V282" s="2"/>
    </row>
    <row r="283" spans="1:22" x14ac:dyDescent="0.35">
      <c r="A283" s="2" t="str">
        <f>Dummy_Variables!A283</f>
        <v>STR-1071</v>
      </c>
      <c r="B283" s="2" t="str">
        <f>Dummy_Variables!B283</f>
        <v>2025-02</v>
      </c>
      <c r="C283" s="2" t="str">
        <f>Dummy_Variables!C283</f>
        <v>South</v>
      </c>
      <c r="D283" s="2" t="str">
        <f>Dummy_Variables!D283</f>
        <v>High Street</v>
      </c>
      <c r="E283" s="7">
        <f>Dummy_Variables!E283</f>
        <v>555557.77</v>
      </c>
      <c r="F283" s="7">
        <f>Dummy_Variables!F283</f>
        <v>34771.26</v>
      </c>
      <c r="G283" s="7">
        <f>Dummy_Variables!G283</f>
        <v>4355</v>
      </c>
      <c r="H283" s="7">
        <f>Dummy_Variables!H283</f>
        <v>5.0999999999999997E-2</v>
      </c>
      <c r="I283" s="7">
        <f>Dummy_Variables!I283</f>
        <v>15</v>
      </c>
      <c r="J283" s="7">
        <f>Dummy_Variables!J283</f>
        <v>87.9</v>
      </c>
      <c r="K283" s="2">
        <f>Dummy_Variables!K283</f>
        <v>0</v>
      </c>
      <c r="L283" s="7">
        <f>Dummy_Variables!L283</f>
        <v>4</v>
      </c>
      <c r="M283" s="2">
        <f>Dummy_Variables!M283</f>
        <v>0</v>
      </c>
      <c r="N283" s="2">
        <f>Dummy_Variables!N283</f>
        <v>1</v>
      </c>
      <c r="O283" s="2">
        <f>Dummy_Variables!O283</f>
        <v>0</v>
      </c>
      <c r="P283" s="7">
        <f t="shared" si="16"/>
        <v>593622.52774805599</v>
      </c>
      <c r="Q283" s="7">
        <f t="shared" si="17"/>
        <v>-38064.75774805597</v>
      </c>
      <c r="R283" s="7">
        <f t="shared" si="18"/>
        <v>38064.75774805597</v>
      </c>
      <c r="S283" s="2" t="str">
        <f t="shared" si="19"/>
        <v>Negative residual - actual below prediction</v>
      </c>
      <c r="T283" s="2"/>
      <c r="U283" s="2"/>
      <c r="V283" s="2"/>
    </row>
    <row r="284" spans="1:22" x14ac:dyDescent="0.35">
      <c r="A284" s="2" t="str">
        <f>Dummy_Variables!A284</f>
        <v>STR-1071</v>
      </c>
      <c r="B284" s="2" t="str">
        <f>Dummy_Variables!B284</f>
        <v>2025-03</v>
      </c>
      <c r="C284" s="2" t="str">
        <f>Dummy_Variables!C284</f>
        <v>South</v>
      </c>
      <c r="D284" s="2" t="str">
        <f>Dummy_Variables!D284</f>
        <v>High Street</v>
      </c>
      <c r="E284" s="7">
        <f>Dummy_Variables!E284</f>
        <v>714083.68</v>
      </c>
      <c r="F284" s="7">
        <f>Dummy_Variables!F284</f>
        <v>66104.19</v>
      </c>
      <c r="G284" s="7">
        <f>Dummy_Variables!G284</f>
        <v>5745</v>
      </c>
      <c r="H284" s="7">
        <f>Dummy_Variables!H284</f>
        <v>7.0000000000000007E-2</v>
      </c>
      <c r="I284" s="7">
        <f>Dummy_Variables!I284</f>
        <v>17</v>
      </c>
      <c r="J284" s="7">
        <f>Dummy_Variables!J284</f>
        <v>95.8</v>
      </c>
      <c r="K284" s="2">
        <f>Dummy_Variables!K284</f>
        <v>0</v>
      </c>
      <c r="L284" s="7">
        <f>Dummy_Variables!L284</f>
        <v>4</v>
      </c>
      <c r="M284" s="2">
        <f>Dummy_Variables!M284</f>
        <v>0</v>
      </c>
      <c r="N284" s="2">
        <f>Dummy_Variables!N284</f>
        <v>1</v>
      </c>
      <c r="O284" s="2">
        <f>Dummy_Variables!O284</f>
        <v>0</v>
      </c>
      <c r="P284" s="7">
        <f t="shared" si="16"/>
        <v>697588.12072509353</v>
      </c>
      <c r="Q284" s="7">
        <f t="shared" si="17"/>
        <v>16495.559274906525</v>
      </c>
      <c r="R284" s="7">
        <f t="shared" si="18"/>
        <v>16495.559274906525</v>
      </c>
      <c r="S284" s="2" t="str">
        <f t="shared" si="19"/>
        <v>Positive residual - actual above prediction</v>
      </c>
      <c r="T284" s="2"/>
      <c r="U284" s="2"/>
      <c r="V284" s="2"/>
    </row>
    <row r="285" spans="1:22" x14ac:dyDescent="0.35">
      <c r="A285" s="2" t="str">
        <f>Dummy_Variables!A285</f>
        <v>STR-1071</v>
      </c>
      <c r="B285" s="2" t="str">
        <f>Dummy_Variables!B285</f>
        <v>2025-04</v>
      </c>
      <c r="C285" s="2" t="str">
        <f>Dummy_Variables!C285</f>
        <v>South</v>
      </c>
      <c r="D285" s="2" t="str">
        <f>Dummy_Variables!D285</f>
        <v>High Street</v>
      </c>
      <c r="E285" s="7">
        <f>Dummy_Variables!E285</f>
        <v>497439.82</v>
      </c>
      <c r="F285" s="7">
        <f>Dummy_Variables!F285</f>
        <v>18599.21</v>
      </c>
      <c r="G285" s="7">
        <f>Dummy_Variables!G285</f>
        <v>3027</v>
      </c>
      <c r="H285" s="7">
        <f>Dummy_Variables!H285</f>
        <v>0.122</v>
      </c>
      <c r="I285" s="7">
        <f>Dummy_Variables!I285</f>
        <v>11</v>
      </c>
      <c r="J285" s="7">
        <f>Dummy_Variables!J285</f>
        <v>80.900000000000006</v>
      </c>
      <c r="K285" s="2">
        <f>Dummy_Variables!K285</f>
        <v>0</v>
      </c>
      <c r="L285" s="7">
        <f>Dummy_Variables!L285</f>
        <v>4.2</v>
      </c>
      <c r="M285" s="2">
        <f>Dummy_Variables!M285</f>
        <v>0</v>
      </c>
      <c r="N285" s="2">
        <f>Dummy_Variables!N285</f>
        <v>1</v>
      </c>
      <c r="O285" s="2">
        <f>Dummy_Variables!O285</f>
        <v>0</v>
      </c>
      <c r="P285" s="7">
        <f t="shared" si="16"/>
        <v>502739.94801735989</v>
      </c>
      <c r="Q285" s="7">
        <f t="shared" si="17"/>
        <v>-5300.1280173598789</v>
      </c>
      <c r="R285" s="7">
        <f t="shared" si="18"/>
        <v>5300.1280173598789</v>
      </c>
      <c r="S285" s="2" t="str">
        <f t="shared" si="19"/>
        <v>Negative residual - actual below prediction</v>
      </c>
      <c r="T285" s="2"/>
      <c r="U285" s="2"/>
      <c r="V285" s="2"/>
    </row>
    <row r="286" spans="1:22" x14ac:dyDescent="0.35">
      <c r="A286" s="2" t="str">
        <f>Dummy_Variables!A286</f>
        <v>STR-1072</v>
      </c>
      <c r="B286" s="2" t="str">
        <f>Dummy_Variables!B286</f>
        <v>2025-01</v>
      </c>
      <c r="C286" s="2" t="str">
        <f>Dummy_Variables!C286</f>
        <v>West</v>
      </c>
      <c r="D286" s="2" t="str">
        <f>Dummy_Variables!D286</f>
        <v>Residential</v>
      </c>
      <c r="E286" s="7">
        <f>Dummy_Variables!E286</f>
        <v>636775.66</v>
      </c>
      <c r="F286" s="7">
        <f>Dummy_Variables!F286</f>
        <v>60183.06</v>
      </c>
      <c r="G286" s="7">
        <f>Dummy_Variables!G286</f>
        <v>5562</v>
      </c>
      <c r="H286" s="7">
        <f>Dummy_Variables!H286</f>
        <v>8.9999999999999993E-3</v>
      </c>
      <c r="I286" s="7">
        <f>Dummy_Variables!I286</f>
        <v>13</v>
      </c>
      <c r="J286" s="7">
        <f>Dummy_Variables!J286</f>
        <v>86.3</v>
      </c>
      <c r="K286" s="2">
        <f>Dummy_Variables!K286</f>
        <v>1</v>
      </c>
      <c r="L286" s="7">
        <f>Dummy_Variables!L286</f>
        <v>4.5</v>
      </c>
      <c r="M286" s="2">
        <f>Dummy_Variables!M286</f>
        <v>0</v>
      </c>
      <c r="N286" s="2">
        <f>Dummy_Variables!N286</f>
        <v>0</v>
      </c>
      <c r="O286" s="2">
        <f>Dummy_Variables!O286</f>
        <v>0</v>
      </c>
      <c r="P286" s="7">
        <f t="shared" si="16"/>
        <v>650057.47807550931</v>
      </c>
      <c r="Q286" s="7">
        <f t="shared" si="17"/>
        <v>-13281.818075509276</v>
      </c>
      <c r="R286" s="7">
        <f t="shared" si="18"/>
        <v>13281.818075509276</v>
      </c>
      <c r="S286" s="2" t="str">
        <f t="shared" si="19"/>
        <v>Negative residual - actual below prediction</v>
      </c>
      <c r="T286" s="2"/>
      <c r="U286" s="2"/>
      <c r="V286" s="2"/>
    </row>
    <row r="287" spans="1:22" x14ac:dyDescent="0.35">
      <c r="A287" s="2" t="str">
        <f>Dummy_Variables!A287</f>
        <v>STR-1072</v>
      </c>
      <c r="B287" s="2" t="str">
        <f>Dummy_Variables!B287</f>
        <v>2025-02</v>
      </c>
      <c r="C287" s="2" t="str">
        <f>Dummy_Variables!C287</f>
        <v>West</v>
      </c>
      <c r="D287" s="2" t="str">
        <f>Dummy_Variables!D287</f>
        <v>Residential</v>
      </c>
      <c r="E287" s="7">
        <f>Dummy_Variables!E287</f>
        <v>633009.53</v>
      </c>
      <c r="F287" s="7">
        <f>Dummy_Variables!F287</f>
        <v>74539.14</v>
      </c>
      <c r="G287" s="7">
        <f>Dummy_Variables!G287</f>
        <v>4487</v>
      </c>
      <c r="H287" s="7">
        <f>Dummy_Variables!H287</f>
        <v>0.14000000000000001</v>
      </c>
      <c r="I287" s="7">
        <f>Dummy_Variables!I287</f>
        <v>10</v>
      </c>
      <c r="J287" s="7">
        <f>Dummy_Variables!J287</f>
        <v>90.4</v>
      </c>
      <c r="K287" s="2">
        <f>Dummy_Variables!K287</f>
        <v>0</v>
      </c>
      <c r="L287" s="7">
        <f>Dummy_Variables!L287</f>
        <v>4.5</v>
      </c>
      <c r="M287" s="2">
        <f>Dummy_Variables!M287</f>
        <v>0</v>
      </c>
      <c r="N287" s="2">
        <f>Dummy_Variables!N287</f>
        <v>0</v>
      </c>
      <c r="O287" s="2">
        <f>Dummy_Variables!O287</f>
        <v>0</v>
      </c>
      <c r="P287" s="7">
        <f t="shared" si="16"/>
        <v>619524.52755455754</v>
      </c>
      <c r="Q287" s="7">
        <f t="shared" si="17"/>
        <v>13485.002445442486</v>
      </c>
      <c r="R287" s="7">
        <f t="shared" si="18"/>
        <v>13485.002445442486</v>
      </c>
      <c r="S287" s="2" t="str">
        <f t="shared" si="19"/>
        <v>Positive residual - actual above prediction</v>
      </c>
      <c r="T287" s="2"/>
      <c r="U287" s="2"/>
      <c r="V287" s="2"/>
    </row>
    <row r="288" spans="1:22" x14ac:dyDescent="0.35">
      <c r="A288" s="2" t="str">
        <f>Dummy_Variables!A288</f>
        <v>STR-1072</v>
      </c>
      <c r="B288" s="2" t="str">
        <f>Dummy_Variables!B288</f>
        <v>2025-03</v>
      </c>
      <c r="C288" s="2" t="str">
        <f>Dummy_Variables!C288</f>
        <v>West</v>
      </c>
      <c r="D288" s="2" t="str">
        <f>Dummy_Variables!D288</f>
        <v>Residential</v>
      </c>
      <c r="E288" s="7">
        <f>Dummy_Variables!E288</f>
        <v>609949</v>
      </c>
      <c r="F288" s="7">
        <f>Dummy_Variables!F288</f>
        <v>55371.97</v>
      </c>
      <c r="G288" s="7">
        <f>Dummy_Variables!G288</f>
        <v>4162</v>
      </c>
      <c r="H288" s="7">
        <f>Dummy_Variables!H288</f>
        <v>0.183</v>
      </c>
      <c r="I288" s="7">
        <f>Dummy_Variables!I288</f>
        <v>11</v>
      </c>
      <c r="J288" s="7">
        <f>Dummy_Variables!J288</f>
        <v>92</v>
      </c>
      <c r="K288" s="2">
        <f>Dummy_Variables!K288</f>
        <v>1</v>
      </c>
      <c r="L288" s="7">
        <f>Dummy_Variables!L288</f>
        <v>4.2</v>
      </c>
      <c r="M288" s="2">
        <f>Dummy_Variables!M288</f>
        <v>0</v>
      </c>
      <c r="N288" s="2">
        <f>Dummy_Variables!N288</f>
        <v>0</v>
      </c>
      <c r="O288" s="2">
        <f>Dummy_Variables!O288</f>
        <v>0</v>
      </c>
      <c r="P288" s="7">
        <f t="shared" si="16"/>
        <v>600989.5717212609</v>
      </c>
      <c r="Q288" s="7">
        <f t="shared" si="17"/>
        <v>8959.4282787390985</v>
      </c>
      <c r="R288" s="7">
        <f t="shared" si="18"/>
        <v>8959.4282787390985</v>
      </c>
      <c r="S288" s="2" t="str">
        <f t="shared" si="19"/>
        <v>Positive residual - actual above prediction</v>
      </c>
      <c r="T288" s="2"/>
      <c r="U288" s="2"/>
      <c r="V288" s="2"/>
    </row>
    <row r="289" spans="1:22" x14ac:dyDescent="0.35">
      <c r="A289" s="2" t="str">
        <f>Dummy_Variables!A289</f>
        <v>STR-1072</v>
      </c>
      <c r="B289" s="2" t="str">
        <f>Dummy_Variables!B289</f>
        <v>2025-04</v>
      </c>
      <c r="C289" s="2" t="str">
        <f>Dummy_Variables!C289</f>
        <v>West</v>
      </c>
      <c r="D289" s="2" t="str">
        <f>Dummy_Variables!D289</f>
        <v>Residential</v>
      </c>
      <c r="E289" s="7">
        <f>Dummy_Variables!E289</f>
        <v>548103.69999999995</v>
      </c>
      <c r="F289" s="7">
        <f>Dummy_Variables!F289</f>
        <v>40928.69</v>
      </c>
      <c r="G289" s="7">
        <f>Dummy_Variables!G289</f>
        <v>4094</v>
      </c>
      <c r="H289" s="7">
        <f>Dummy_Variables!H289</f>
        <v>0.17399999999999999</v>
      </c>
      <c r="I289" s="7">
        <f>Dummy_Variables!I289</f>
        <v>13</v>
      </c>
      <c r="J289" s="7">
        <f>Dummy_Variables!J289</f>
        <v>82.4</v>
      </c>
      <c r="K289" s="2">
        <f>Dummy_Variables!K289</f>
        <v>0</v>
      </c>
      <c r="L289" s="7">
        <f>Dummy_Variables!L289</f>
        <v>4.8</v>
      </c>
      <c r="M289" s="2">
        <f>Dummy_Variables!M289</f>
        <v>0</v>
      </c>
      <c r="N289" s="2">
        <f>Dummy_Variables!N289</f>
        <v>0</v>
      </c>
      <c r="O289" s="2">
        <f>Dummy_Variables!O289</f>
        <v>0</v>
      </c>
      <c r="P289" s="7">
        <f t="shared" si="16"/>
        <v>555512.57051989646</v>
      </c>
      <c r="Q289" s="7">
        <f t="shared" si="17"/>
        <v>-7408.8705198965035</v>
      </c>
      <c r="R289" s="7">
        <f t="shared" si="18"/>
        <v>7408.8705198965035</v>
      </c>
      <c r="S289" s="2" t="str">
        <f t="shared" si="19"/>
        <v>Negative residual - actual below prediction</v>
      </c>
      <c r="T289" s="2"/>
      <c r="U289" s="2"/>
      <c r="V289" s="2"/>
    </row>
    <row r="290" spans="1:22" x14ac:dyDescent="0.35">
      <c r="A290" s="2" t="str">
        <f>Dummy_Variables!A290</f>
        <v>STR-1073</v>
      </c>
      <c r="B290" s="2" t="str">
        <f>Dummy_Variables!B290</f>
        <v>2025-01</v>
      </c>
      <c r="C290" s="2" t="str">
        <f>Dummy_Variables!C290</f>
        <v>East</v>
      </c>
      <c r="D290" s="2" t="str">
        <f>Dummy_Variables!D290</f>
        <v>Residential</v>
      </c>
      <c r="E290" s="7">
        <f>Dummy_Variables!E290</f>
        <v>729424.42</v>
      </c>
      <c r="F290" s="7">
        <f>Dummy_Variables!F290</f>
        <v>70012.41</v>
      </c>
      <c r="G290" s="7">
        <f>Dummy_Variables!G290</f>
        <v>8484</v>
      </c>
      <c r="H290" s="7">
        <f>Dummy_Variables!H290</f>
        <v>0.27300000000000002</v>
      </c>
      <c r="I290" s="7">
        <f>Dummy_Variables!I290</f>
        <v>23</v>
      </c>
      <c r="J290" s="7">
        <f>Dummy_Variables!J290</f>
        <v>72.900000000000006</v>
      </c>
      <c r="K290" s="2">
        <f>Dummy_Variables!K290</f>
        <v>0</v>
      </c>
      <c r="L290" s="7">
        <f>Dummy_Variables!L290</f>
        <v>3.7</v>
      </c>
      <c r="M290" s="2">
        <f>Dummy_Variables!M290</f>
        <v>0</v>
      </c>
      <c r="N290" s="2">
        <f>Dummy_Variables!N290</f>
        <v>0</v>
      </c>
      <c r="O290" s="2">
        <f>Dummy_Variables!O290</f>
        <v>0</v>
      </c>
      <c r="P290" s="7">
        <f t="shared" si="16"/>
        <v>692706.39519870421</v>
      </c>
      <c r="Q290" s="7">
        <f t="shared" si="17"/>
        <v>36718.024801295833</v>
      </c>
      <c r="R290" s="7">
        <f t="shared" si="18"/>
        <v>36718.024801295833</v>
      </c>
      <c r="S290" s="2" t="str">
        <f t="shared" si="19"/>
        <v>Positive residual - actual above prediction</v>
      </c>
      <c r="T290" s="2"/>
      <c r="U290" s="2"/>
      <c r="V290" s="2"/>
    </row>
    <row r="291" spans="1:22" x14ac:dyDescent="0.35">
      <c r="A291" s="2" t="str">
        <f>Dummy_Variables!A291</f>
        <v>STR-1073</v>
      </c>
      <c r="B291" s="2" t="str">
        <f>Dummy_Variables!B291</f>
        <v>2025-02</v>
      </c>
      <c r="C291" s="2" t="str">
        <f>Dummy_Variables!C291</f>
        <v>East</v>
      </c>
      <c r="D291" s="2" t="str">
        <f>Dummy_Variables!D291</f>
        <v>Residential</v>
      </c>
      <c r="E291" s="7">
        <f>Dummy_Variables!E291</f>
        <v>696261.49</v>
      </c>
      <c r="F291" s="7">
        <f>Dummy_Variables!F291</f>
        <v>68909.259999999995</v>
      </c>
      <c r="G291" s="7">
        <f>Dummy_Variables!G291</f>
        <v>7794</v>
      </c>
      <c r="H291" s="7">
        <f>Dummy_Variables!H291</f>
        <v>0.28399999999999997</v>
      </c>
      <c r="I291" s="7">
        <f>Dummy_Variables!I291</f>
        <v>22</v>
      </c>
      <c r="J291" s="7">
        <f>Dummy_Variables!J291</f>
        <v>89</v>
      </c>
      <c r="K291" s="2">
        <f>Dummy_Variables!K291</f>
        <v>0</v>
      </c>
      <c r="L291" s="7">
        <f>Dummy_Variables!L291</f>
        <v>4</v>
      </c>
      <c r="M291" s="2">
        <f>Dummy_Variables!M291</f>
        <v>0</v>
      </c>
      <c r="N291" s="2">
        <f>Dummy_Variables!N291</f>
        <v>0</v>
      </c>
      <c r="O291" s="2">
        <f>Dummy_Variables!O291</f>
        <v>0</v>
      </c>
      <c r="P291" s="7">
        <f t="shared" si="16"/>
        <v>720739.79961992474</v>
      </c>
      <c r="Q291" s="7">
        <f t="shared" si="17"/>
        <v>-24478.309619924752</v>
      </c>
      <c r="R291" s="7">
        <f t="shared" si="18"/>
        <v>24478.309619924752</v>
      </c>
      <c r="S291" s="2" t="str">
        <f t="shared" si="19"/>
        <v>Negative residual - actual below prediction</v>
      </c>
      <c r="T291" s="2"/>
      <c r="U291" s="2"/>
      <c r="V291" s="2"/>
    </row>
    <row r="292" spans="1:22" x14ac:dyDescent="0.35">
      <c r="A292" s="2" t="str">
        <f>Dummy_Variables!A292</f>
        <v>STR-1073</v>
      </c>
      <c r="B292" s="2" t="str">
        <f>Dummy_Variables!B292</f>
        <v>2025-03</v>
      </c>
      <c r="C292" s="2" t="str">
        <f>Dummy_Variables!C292</f>
        <v>East</v>
      </c>
      <c r="D292" s="2" t="str">
        <f>Dummy_Variables!D292</f>
        <v>Residential</v>
      </c>
      <c r="E292" s="7">
        <f>Dummy_Variables!E292</f>
        <v>813316.71</v>
      </c>
      <c r="F292" s="7">
        <f>Dummy_Variables!F292</f>
        <v>56737.3</v>
      </c>
      <c r="G292" s="7">
        <f>Dummy_Variables!G292</f>
        <v>8300</v>
      </c>
      <c r="H292" s="7">
        <f>Dummy_Variables!H292</f>
        <v>3.2000000000000001E-2</v>
      </c>
      <c r="I292" s="7">
        <f>Dummy_Variables!I292</f>
        <v>21</v>
      </c>
      <c r="J292" s="7">
        <f>Dummy_Variables!J292</f>
        <v>83.2</v>
      </c>
      <c r="K292" s="2">
        <f>Dummy_Variables!K292</f>
        <v>1</v>
      </c>
      <c r="L292" s="7">
        <f>Dummy_Variables!L292</f>
        <v>4.3</v>
      </c>
      <c r="M292" s="2">
        <f>Dummy_Variables!M292</f>
        <v>0</v>
      </c>
      <c r="N292" s="2">
        <f>Dummy_Variables!N292</f>
        <v>0</v>
      </c>
      <c r="O292" s="2">
        <f>Dummy_Variables!O292</f>
        <v>0</v>
      </c>
      <c r="P292" s="7">
        <f t="shared" si="16"/>
        <v>733011.60444385558</v>
      </c>
      <c r="Q292" s="7">
        <f t="shared" si="17"/>
        <v>80305.105556144379</v>
      </c>
      <c r="R292" s="7">
        <f t="shared" si="18"/>
        <v>80305.105556144379</v>
      </c>
      <c r="S292" s="2" t="str">
        <f t="shared" si="19"/>
        <v>Positive residual - actual above prediction</v>
      </c>
      <c r="T292" s="2"/>
      <c r="U292" s="2"/>
      <c r="V292" s="2"/>
    </row>
    <row r="293" spans="1:22" x14ac:dyDescent="0.35">
      <c r="A293" s="2" t="str">
        <f>Dummy_Variables!A293</f>
        <v>STR-1073</v>
      </c>
      <c r="B293" s="2" t="str">
        <f>Dummy_Variables!B293</f>
        <v>2025-04</v>
      </c>
      <c r="C293" s="2" t="str">
        <f>Dummy_Variables!C293</f>
        <v>East</v>
      </c>
      <c r="D293" s="2" t="str">
        <f>Dummy_Variables!D293</f>
        <v>Residential</v>
      </c>
      <c r="E293" s="7">
        <f>Dummy_Variables!E293</f>
        <v>702068.92</v>
      </c>
      <c r="F293" s="7">
        <f>Dummy_Variables!F293</f>
        <v>54080.91</v>
      </c>
      <c r="G293" s="7">
        <f>Dummy_Variables!G293</f>
        <v>7083</v>
      </c>
      <c r="H293" s="7">
        <f>Dummy_Variables!H293</f>
        <v>0</v>
      </c>
      <c r="I293" s="7">
        <f>Dummy_Variables!I293</f>
        <v>15</v>
      </c>
      <c r="J293" s="7">
        <f>Dummy_Variables!J293</f>
        <v>97</v>
      </c>
      <c r="K293" s="2">
        <f>Dummy_Variables!K293</f>
        <v>0</v>
      </c>
      <c r="L293" s="7">
        <f>Dummy_Variables!L293</f>
        <v>4.0999999999999996</v>
      </c>
      <c r="M293" s="2">
        <f>Dummy_Variables!M293</f>
        <v>0</v>
      </c>
      <c r="N293" s="2">
        <f>Dummy_Variables!N293</f>
        <v>0</v>
      </c>
      <c r="O293" s="2">
        <f>Dummy_Variables!O293</f>
        <v>0</v>
      </c>
      <c r="P293" s="7">
        <f t="shared" si="16"/>
        <v>707596.92243687902</v>
      </c>
      <c r="Q293" s="7">
        <f t="shared" si="17"/>
        <v>-5528.0024368789745</v>
      </c>
      <c r="R293" s="7">
        <f t="shared" si="18"/>
        <v>5528.0024368789745</v>
      </c>
      <c r="S293" s="2" t="str">
        <f t="shared" si="19"/>
        <v>Negative residual - actual below prediction</v>
      </c>
      <c r="T293" s="2"/>
      <c r="U293" s="2"/>
      <c r="V293" s="2"/>
    </row>
    <row r="294" spans="1:22" x14ac:dyDescent="0.35">
      <c r="A294" s="2" t="str">
        <f>Dummy_Variables!A294</f>
        <v>STR-1074</v>
      </c>
      <c r="B294" s="2" t="str">
        <f>Dummy_Variables!B294</f>
        <v>2025-01</v>
      </c>
      <c r="C294" s="2" t="str">
        <f>Dummy_Variables!C294</f>
        <v>West</v>
      </c>
      <c r="D294" s="2" t="str">
        <f>Dummy_Variables!D294</f>
        <v>High Street</v>
      </c>
      <c r="E294" s="7">
        <f>Dummy_Variables!E294</f>
        <v>546223.69999999995</v>
      </c>
      <c r="F294" s="7">
        <f>Dummy_Variables!F294</f>
        <v>51996.32</v>
      </c>
      <c r="G294" s="7">
        <f>Dummy_Variables!G294</f>
        <v>3834</v>
      </c>
      <c r="H294" s="7">
        <f>Dummy_Variables!H294</f>
        <v>9.6000000000000002E-2</v>
      </c>
      <c r="I294" s="7">
        <f>Dummy_Variables!I294</f>
        <v>8</v>
      </c>
      <c r="J294" s="7">
        <f>Dummy_Variables!J294</f>
        <v>86.7</v>
      </c>
      <c r="K294" s="2">
        <f>Dummy_Variables!K294</f>
        <v>0</v>
      </c>
      <c r="L294" s="7">
        <f>Dummy_Variables!L294</f>
        <v>4.5</v>
      </c>
      <c r="M294" s="2">
        <f>Dummy_Variables!M294</f>
        <v>0</v>
      </c>
      <c r="N294" s="2">
        <f>Dummy_Variables!N294</f>
        <v>1</v>
      </c>
      <c r="O294" s="2">
        <f>Dummy_Variables!O294</f>
        <v>0</v>
      </c>
      <c r="P294" s="7">
        <f t="shared" si="16"/>
        <v>578912.91269957204</v>
      </c>
      <c r="Q294" s="7">
        <f t="shared" si="17"/>
        <v>-32689.21269957209</v>
      </c>
      <c r="R294" s="7">
        <f t="shared" si="18"/>
        <v>32689.21269957209</v>
      </c>
      <c r="S294" s="2" t="str">
        <f t="shared" si="19"/>
        <v>Negative residual - actual below prediction</v>
      </c>
      <c r="T294" s="2"/>
      <c r="U294" s="2"/>
      <c r="V294" s="2"/>
    </row>
    <row r="295" spans="1:22" x14ac:dyDescent="0.35">
      <c r="A295" s="2" t="str">
        <f>Dummy_Variables!A295</f>
        <v>STR-1074</v>
      </c>
      <c r="B295" s="2" t="str">
        <f>Dummy_Variables!B295</f>
        <v>2025-02</v>
      </c>
      <c r="C295" s="2" t="str">
        <f>Dummy_Variables!C295</f>
        <v>West</v>
      </c>
      <c r="D295" s="2" t="str">
        <f>Dummy_Variables!D295</f>
        <v>High Street</v>
      </c>
      <c r="E295" s="7">
        <f>Dummy_Variables!E295</f>
        <v>533121.26</v>
      </c>
      <c r="F295" s="7">
        <f>Dummy_Variables!F295</f>
        <v>40102.879999999997</v>
      </c>
      <c r="G295" s="7">
        <f>Dummy_Variables!G295</f>
        <v>2358</v>
      </c>
      <c r="H295" s="7">
        <f>Dummy_Variables!H295</f>
        <v>0.11899999999999999</v>
      </c>
      <c r="I295" s="7">
        <f>Dummy_Variables!I295</f>
        <v>9</v>
      </c>
      <c r="J295" s="7">
        <f>Dummy_Variables!J295</f>
        <v>88.7</v>
      </c>
      <c r="K295" s="2">
        <f>Dummy_Variables!K295</f>
        <v>0</v>
      </c>
      <c r="L295" s="7">
        <f>Dummy_Variables!L295</f>
        <v>4.2</v>
      </c>
      <c r="M295" s="2">
        <f>Dummy_Variables!M295</f>
        <v>0</v>
      </c>
      <c r="N295" s="2">
        <f>Dummy_Variables!N295</f>
        <v>1</v>
      </c>
      <c r="O295" s="2">
        <f>Dummy_Variables!O295</f>
        <v>0</v>
      </c>
      <c r="P295" s="7">
        <f t="shared" si="16"/>
        <v>526671.95341762307</v>
      </c>
      <c r="Q295" s="7">
        <f t="shared" si="17"/>
        <v>6449.306582376943</v>
      </c>
      <c r="R295" s="7">
        <f t="shared" si="18"/>
        <v>6449.306582376943</v>
      </c>
      <c r="S295" s="2" t="str">
        <f t="shared" si="19"/>
        <v>Positive residual - actual above prediction</v>
      </c>
      <c r="T295" s="2"/>
      <c r="U295" s="2"/>
      <c r="V295" s="2"/>
    </row>
    <row r="296" spans="1:22" x14ac:dyDescent="0.35">
      <c r="A296" s="2" t="str">
        <f>Dummy_Variables!A296</f>
        <v>STR-1074</v>
      </c>
      <c r="B296" s="2" t="str">
        <f>Dummy_Variables!B296</f>
        <v>2025-03</v>
      </c>
      <c r="C296" s="2" t="str">
        <f>Dummy_Variables!C296</f>
        <v>West</v>
      </c>
      <c r="D296" s="2" t="str">
        <f>Dummy_Variables!D296</f>
        <v>High Street</v>
      </c>
      <c r="E296" s="7">
        <f>Dummy_Variables!E296</f>
        <v>498970.32</v>
      </c>
      <c r="F296" s="7">
        <f>Dummy_Variables!F296</f>
        <v>59825.51</v>
      </c>
      <c r="G296" s="7">
        <f>Dummy_Variables!G296</f>
        <v>1231</v>
      </c>
      <c r="H296" s="7">
        <f>Dummy_Variables!H296</f>
        <v>0.214</v>
      </c>
      <c r="I296" s="7">
        <f>Dummy_Variables!I296</f>
        <v>10</v>
      </c>
      <c r="J296" s="7">
        <f>Dummy_Variables!J296</f>
        <v>84.8</v>
      </c>
      <c r="K296" s="2">
        <f>Dummy_Variables!K296</f>
        <v>0</v>
      </c>
      <c r="L296" s="7">
        <f>Dummy_Variables!L296</f>
        <v>4.7</v>
      </c>
      <c r="M296" s="2">
        <f>Dummy_Variables!M296</f>
        <v>0</v>
      </c>
      <c r="N296" s="2">
        <f>Dummy_Variables!N296</f>
        <v>1</v>
      </c>
      <c r="O296" s="2">
        <f>Dummy_Variables!O296</f>
        <v>0</v>
      </c>
      <c r="P296" s="7">
        <f t="shared" si="16"/>
        <v>508817.38360996946</v>
      </c>
      <c r="Q296" s="7">
        <f t="shared" si="17"/>
        <v>-9847.063609969453</v>
      </c>
      <c r="R296" s="7">
        <f t="shared" si="18"/>
        <v>9847.063609969453</v>
      </c>
      <c r="S296" s="2" t="str">
        <f t="shared" si="19"/>
        <v>Negative residual - actual below prediction</v>
      </c>
      <c r="T296" s="2"/>
      <c r="U296" s="2"/>
      <c r="V296" s="2"/>
    </row>
    <row r="297" spans="1:22" x14ac:dyDescent="0.35">
      <c r="A297" s="2" t="str">
        <f>Dummy_Variables!A297</f>
        <v>STR-1074</v>
      </c>
      <c r="B297" s="2" t="str">
        <f>Dummy_Variables!B297</f>
        <v>2025-04</v>
      </c>
      <c r="C297" s="2" t="str">
        <f>Dummy_Variables!C297</f>
        <v>West</v>
      </c>
      <c r="D297" s="2" t="str">
        <f>Dummy_Variables!D297</f>
        <v>High Street</v>
      </c>
      <c r="E297" s="7">
        <f>Dummy_Variables!E297</f>
        <v>487738.26</v>
      </c>
      <c r="F297" s="7">
        <f>Dummy_Variables!F297</f>
        <v>27398.28</v>
      </c>
      <c r="G297" s="7">
        <f>Dummy_Variables!G297</f>
        <v>1723</v>
      </c>
      <c r="H297" s="7">
        <f>Dummy_Variables!H297</f>
        <v>0.17100000000000001</v>
      </c>
      <c r="I297" s="7">
        <f>Dummy_Variables!I297</f>
        <v>9</v>
      </c>
      <c r="J297" s="7">
        <f>Dummy_Variables!J297</f>
        <v>81</v>
      </c>
      <c r="K297" s="2">
        <f>Dummy_Variables!K297</f>
        <v>0</v>
      </c>
      <c r="L297" s="7">
        <f>Dummy_Variables!L297</f>
        <v>4.5999999999999996</v>
      </c>
      <c r="M297" s="2">
        <f>Dummy_Variables!M297</f>
        <v>0</v>
      </c>
      <c r="N297" s="2">
        <f>Dummy_Variables!N297</f>
        <v>1</v>
      </c>
      <c r="O297" s="2">
        <f>Dummy_Variables!O297</f>
        <v>0</v>
      </c>
      <c r="P297" s="7">
        <f t="shared" si="16"/>
        <v>472518.1296667218</v>
      </c>
      <c r="Q297" s="7">
        <f t="shared" si="17"/>
        <v>15220.130333278212</v>
      </c>
      <c r="R297" s="7">
        <f t="shared" si="18"/>
        <v>15220.130333278212</v>
      </c>
      <c r="S297" s="2" t="str">
        <f t="shared" si="19"/>
        <v>Positive residual - actual above prediction</v>
      </c>
      <c r="T297" s="2"/>
      <c r="U297" s="2"/>
      <c r="V297" s="2"/>
    </row>
    <row r="298" spans="1:22" x14ac:dyDescent="0.35">
      <c r="A298" s="2" t="str">
        <f>Dummy_Variables!A298</f>
        <v>STR-1075</v>
      </c>
      <c r="B298" s="2" t="str">
        <f>Dummy_Variables!B298</f>
        <v>2025-01</v>
      </c>
      <c r="C298" s="2" t="str">
        <f>Dummy_Variables!C298</f>
        <v>West</v>
      </c>
      <c r="D298" s="2" t="str">
        <f>Dummy_Variables!D298</f>
        <v>High Street</v>
      </c>
      <c r="E298" s="7">
        <f>Dummy_Variables!E298</f>
        <v>668459.37</v>
      </c>
      <c r="F298" s="7">
        <f>Dummy_Variables!F298</f>
        <v>55599.56</v>
      </c>
      <c r="G298" s="7">
        <f>Dummy_Variables!G298</f>
        <v>5896</v>
      </c>
      <c r="H298" s="7">
        <f>Dummy_Variables!H298</f>
        <v>3.5999999999999997E-2</v>
      </c>
      <c r="I298" s="7">
        <f>Dummy_Variables!I298</f>
        <v>12</v>
      </c>
      <c r="J298" s="7">
        <f>Dummy_Variables!J298</f>
        <v>93.1</v>
      </c>
      <c r="K298" s="2">
        <f>Dummy_Variables!K298</f>
        <v>0</v>
      </c>
      <c r="L298" s="7">
        <f>Dummy_Variables!L298</f>
        <v>3.3</v>
      </c>
      <c r="M298" s="2">
        <f>Dummy_Variables!M298</f>
        <v>0</v>
      </c>
      <c r="N298" s="2">
        <f>Dummy_Variables!N298</f>
        <v>1</v>
      </c>
      <c r="O298" s="2">
        <f>Dummy_Variables!O298</f>
        <v>0</v>
      </c>
      <c r="P298" s="7">
        <f t="shared" si="16"/>
        <v>660583.88714125438</v>
      </c>
      <c r="Q298" s="7">
        <f t="shared" si="17"/>
        <v>7875.4828587456141</v>
      </c>
      <c r="R298" s="7">
        <f t="shared" si="18"/>
        <v>7875.4828587456141</v>
      </c>
      <c r="S298" s="2" t="str">
        <f t="shared" si="19"/>
        <v>Positive residual - actual above prediction</v>
      </c>
      <c r="T298" s="2"/>
      <c r="U298" s="2"/>
      <c r="V298" s="2"/>
    </row>
    <row r="299" spans="1:22" x14ac:dyDescent="0.35">
      <c r="A299" s="2" t="str">
        <f>Dummy_Variables!A299</f>
        <v>STR-1075</v>
      </c>
      <c r="B299" s="2" t="str">
        <f>Dummy_Variables!B299</f>
        <v>2025-02</v>
      </c>
      <c r="C299" s="2" t="str">
        <f>Dummy_Variables!C299</f>
        <v>West</v>
      </c>
      <c r="D299" s="2" t="str">
        <f>Dummy_Variables!D299</f>
        <v>High Street</v>
      </c>
      <c r="E299" s="7">
        <f>Dummy_Variables!E299</f>
        <v>763162.45</v>
      </c>
      <c r="F299" s="7">
        <f>Dummy_Variables!F299</f>
        <v>55477.61</v>
      </c>
      <c r="G299" s="7">
        <f>Dummy_Variables!G299</f>
        <v>5903</v>
      </c>
      <c r="H299" s="7">
        <f>Dummy_Variables!H299</f>
        <v>0.10199999999999999</v>
      </c>
      <c r="I299" s="7">
        <f>Dummy_Variables!I299</f>
        <v>14</v>
      </c>
      <c r="J299" s="7">
        <f>Dummy_Variables!J299</f>
        <v>96.2</v>
      </c>
      <c r="K299" s="2">
        <f>Dummy_Variables!K299</f>
        <v>0</v>
      </c>
      <c r="L299" s="7">
        <f>Dummy_Variables!L299</f>
        <v>3.3</v>
      </c>
      <c r="M299" s="2">
        <f>Dummy_Variables!M299</f>
        <v>0</v>
      </c>
      <c r="N299" s="2">
        <f>Dummy_Variables!N299</f>
        <v>1</v>
      </c>
      <c r="O299" s="2">
        <f>Dummy_Variables!O299</f>
        <v>0</v>
      </c>
      <c r="P299" s="7">
        <f t="shared" si="16"/>
        <v>671328.6550287694</v>
      </c>
      <c r="Q299" s="7">
        <f t="shared" si="17"/>
        <v>91833.794971230556</v>
      </c>
      <c r="R299" s="7">
        <f t="shared" si="18"/>
        <v>91833.794971230556</v>
      </c>
      <c r="S299" s="2" t="str">
        <f t="shared" si="19"/>
        <v>Positive residual - actual above prediction</v>
      </c>
      <c r="T299" s="2"/>
      <c r="U299" s="2"/>
      <c r="V299" s="2"/>
    </row>
    <row r="300" spans="1:22" x14ac:dyDescent="0.35">
      <c r="A300" s="2" t="str">
        <f>Dummy_Variables!A300</f>
        <v>STR-1075</v>
      </c>
      <c r="B300" s="2" t="str">
        <f>Dummy_Variables!B300</f>
        <v>2025-03</v>
      </c>
      <c r="C300" s="2" t="str">
        <f>Dummy_Variables!C300</f>
        <v>West</v>
      </c>
      <c r="D300" s="2" t="str">
        <f>Dummy_Variables!D300</f>
        <v>High Street</v>
      </c>
      <c r="E300" s="7">
        <f>Dummy_Variables!E300</f>
        <v>599017.32999999996</v>
      </c>
      <c r="F300" s="7">
        <f>Dummy_Variables!F300</f>
        <v>46174.7</v>
      </c>
      <c r="G300" s="7">
        <f>Dummy_Variables!G300</f>
        <v>4898</v>
      </c>
      <c r="H300" s="7">
        <f>Dummy_Variables!H300</f>
        <v>0.114</v>
      </c>
      <c r="I300" s="7">
        <f>Dummy_Variables!I300</f>
        <v>11</v>
      </c>
      <c r="J300" s="7">
        <f>Dummy_Variables!J300</f>
        <v>91.7</v>
      </c>
      <c r="K300" s="2">
        <f>Dummy_Variables!K300</f>
        <v>0</v>
      </c>
      <c r="L300" s="7">
        <f>Dummy_Variables!L300</f>
        <v>3.1</v>
      </c>
      <c r="M300" s="2">
        <f>Dummy_Variables!M300</f>
        <v>0</v>
      </c>
      <c r="N300" s="2">
        <f>Dummy_Variables!N300</f>
        <v>1</v>
      </c>
      <c r="O300" s="2">
        <f>Dummy_Variables!O300</f>
        <v>0</v>
      </c>
      <c r="P300" s="7">
        <f t="shared" si="16"/>
        <v>606584.66022324411</v>
      </c>
      <c r="Q300" s="7">
        <f t="shared" si="17"/>
        <v>-7567.3302232441492</v>
      </c>
      <c r="R300" s="7">
        <f t="shared" si="18"/>
        <v>7567.3302232441492</v>
      </c>
      <c r="S300" s="2" t="str">
        <f t="shared" si="19"/>
        <v>Negative residual - actual below prediction</v>
      </c>
      <c r="T300" s="2"/>
      <c r="U300" s="2"/>
      <c r="V300" s="2"/>
    </row>
    <row r="301" spans="1:22" x14ac:dyDescent="0.35">
      <c r="A301" s="2" t="str">
        <f>Dummy_Variables!A301</f>
        <v>STR-1075</v>
      </c>
      <c r="B301" s="2" t="str">
        <f>Dummy_Variables!B301</f>
        <v>2025-04</v>
      </c>
      <c r="C301" s="2" t="str">
        <f>Dummy_Variables!C301</f>
        <v>West</v>
      </c>
      <c r="D301" s="2" t="str">
        <f>Dummy_Variables!D301</f>
        <v>High Street</v>
      </c>
      <c r="E301" s="7">
        <f>Dummy_Variables!E301</f>
        <v>401582.58</v>
      </c>
      <c r="F301" s="7">
        <f>Dummy_Variables!F301</f>
        <v>24362.98</v>
      </c>
      <c r="G301" s="7">
        <f>Dummy_Variables!G301</f>
        <v>1462</v>
      </c>
      <c r="H301" s="7">
        <f>Dummy_Variables!H301</f>
        <v>0.11700000000000001</v>
      </c>
      <c r="I301" s="7">
        <f>Dummy_Variables!I301</f>
        <v>6</v>
      </c>
      <c r="J301" s="7">
        <f>Dummy_Variables!J301</f>
        <v>89.3</v>
      </c>
      <c r="K301" s="2">
        <f>Dummy_Variables!K301</f>
        <v>0</v>
      </c>
      <c r="L301" s="7">
        <f>Dummy_Variables!L301</f>
        <v>3.2</v>
      </c>
      <c r="M301" s="2">
        <f>Dummy_Variables!M301</f>
        <v>0</v>
      </c>
      <c r="N301" s="2">
        <f>Dummy_Variables!N301</f>
        <v>1</v>
      </c>
      <c r="O301" s="2">
        <f>Dummy_Variables!O301</f>
        <v>0</v>
      </c>
      <c r="P301" s="7">
        <f t="shared" si="16"/>
        <v>463473.70169205422</v>
      </c>
      <c r="Q301" s="7">
        <f t="shared" si="17"/>
        <v>-61891.121692054207</v>
      </c>
      <c r="R301" s="7">
        <f t="shared" si="18"/>
        <v>61891.121692054207</v>
      </c>
      <c r="S301" s="2" t="str">
        <f t="shared" si="19"/>
        <v>Negative residual - actual below prediction</v>
      </c>
      <c r="T301" s="2"/>
      <c r="U301" s="2"/>
      <c r="V301" s="2"/>
    </row>
    <row r="302" spans="1:22" x14ac:dyDescent="0.35">
      <c r="A302" s="2" t="str">
        <f>Dummy_Variables!A302</f>
        <v>STR-1076</v>
      </c>
      <c r="B302" s="2" t="str">
        <f>Dummy_Variables!B302</f>
        <v>2025-01</v>
      </c>
      <c r="C302" s="2" t="str">
        <f>Dummy_Variables!C302</f>
        <v>North</v>
      </c>
      <c r="D302" s="2" t="str">
        <f>Dummy_Variables!D302</f>
        <v>Mall</v>
      </c>
      <c r="E302" s="7">
        <f>Dummy_Variables!E302</f>
        <v>703812.99</v>
      </c>
      <c r="F302" s="7">
        <f>Dummy_Variables!F302</f>
        <v>40647.67</v>
      </c>
      <c r="G302" s="7">
        <f>Dummy_Variables!G302</f>
        <v>8252</v>
      </c>
      <c r="H302" s="7">
        <f>Dummy_Variables!H302</f>
        <v>0.14099999999999999</v>
      </c>
      <c r="I302" s="7">
        <f>Dummy_Variables!I302</f>
        <v>22</v>
      </c>
      <c r="J302" s="7">
        <f>Dummy_Variables!J302</f>
        <v>88.2</v>
      </c>
      <c r="K302" s="2">
        <f>Dummy_Variables!K302</f>
        <v>1</v>
      </c>
      <c r="L302" s="7">
        <f>Dummy_Variables!L302</f>
        <v>4.0999999999999996</v>
      </c>
      <c r="M302" s="2">
        <f>Dummy_Variables!M302</f>
        <v>0</v>
      </c>
      <c r="N302" s="2">
        <f>Dummy_Variables!N302</f>
        <v>0</v>
      </c>
      <c r="O302" s="2">
        <f>Dummy_Variables!O302</f>
        <v>1</v>
      </c>
      <c r="P302" s="7">
        <f t="shared" si="16"/>
        <v>748210.85211372352</v>
      </c>
      <c r="Q302" s="7">
        <f t="shared" si="17"/>
        <v>-44397.862113723531</v>
      </c>
      <c r="R302" s="7">
        <f t="shared" si="18"/>
        <v>44397.862113723531</v>
      </c>
      <c r="S302" s="2" t="str">
        <f t="shared" si="19"/>
        <v>Negative residual - actual below prediction</v>
      </c>
      <c r="T302" s="2"/>
      <c r="U302" s="2"/>
      <c r="V302" s="2"/>
    </row>
    <row r="303" spans="1:22" x14ac:dyDescent="0.35">
      <c r="A303" s="2" t="str">
        <f>Dummy_Variables!A303</f>
        <v>STR-1076</v>
      </c>
      <c r="B303" s="2" t="str">
        <f>Dummy_Variables!B303</f>
        <v>2025-02</v>
      </c>
      <c r="C303" s="2" t="str">
        <f>Dummy_Variables!C303</f>
        <v>North</v>
      </c>
      <c r="D303" s="2" t="str">
        <f>Dummy_Variables!D303</f>
        <v>Mall</v>
      </c>
      <c r="E303" s="7">
        <f>Dummy_Variables!E303</f>
        <v>724346.73</v>
      </c>
      <c r="F303" s="7">
        <f>Dummy_Variables!F303</f>
        <v>63986.98</v>
      </c>
      <c r="G303" s="7">
        <f>Dummy_Variables!G303</f>
        <v>7989</v>
      </c>
      <c r="H303" s="7">
        <f>Dummy_Variables!H303</f>
        <v>7.3999999999999996E-2</v>
      </c>
      <c r="I303" s="7">
        <f>Dummy_Variables!I303</f>
        <v>20</v>
      </c>
      <c r="J303" s="7">
        <f>Dummy_Variables!J303</f>
        <v>83.3</v>
      </c>
      <c r="K303" s="2">
        <f>Dummy_Variables!K303</f>
        <v>0</v>
      </c>
      <c r="L303" s="7">
        <f>Dummy_Variables!L303</f>
        <v>3.7</v>
      </c>
      <c r="M303" s="2">
        <f>Dummy_Variables!M303</f>
        <v>0</v>
      </c>
      <c r="N303" s="2">
        <f>Dummy_Variables!N303</f>
        <v>0</v>
      </c>
      <c r="O303" s="2">
        <f>Dummy_Variables!O303</f>
        <v>1</v>
      </c>
      <c r="P303" s="7">
        <f t="shared" si="16"/>
        <v>734551.99986602378</v>
      </c>
      <c r="Q303" s="7">
        <f t="shared" si="17"/>
        <v>-10205.269866023795</v>
      </c>
      <c r="R303" s="7">
        <f t="shared" si="18"/>
        <v>10205.269866023795</v>
      </c>
      <c r="S303" s="2" t="str">
        <f t="shared" si="19"/>
        <v>Negative residual - actual below prediction</v>
      </c>
      <c r="T303" s="2"/>
      <c r="U303" s="2"/>
      <c r="V303" s="2"/>
    </row>
    <row r="304" spans="1:22" x14ac:dyDescent="0.35">
      <c r="A304" s="2" t="str">
        <f>Dummy_Variables!A304</f>
        <v>STR-1076</v>
      </c>
      <c r="B304" s="2" t="str">
        <f>Dummy_Variables!B304</f>
        <v>2025-03</v>
      </c>
      <c r="C304" s="2" t="str">
        <f>Dummy_Variables!C304</f>
        <v>North</v>
      </c>
      <c r="D304" s="2" t="str">
        <f>Dummy_Variables!D304</f>
        <v>Mall</v>
      </c>
      <c r="E304" s="7">
        <f>Dummy_Variables!E304</f>
        <v>730890.01</v>
      </c>
      <c r="F304" s="7">
        <f>Dummy_Variables!F304</f>
        <v>52843.75</v>
      </c>
      <c r="G304" s="7">
        <f>Dummy_Variables!G304</f>
        <v>8268</v>
      </c>
      <c r="H304" s="7">
        <f>Dummy_Variables!H304</f>
        <v>0.13800000000000001</v>
      </c>
      <c r="I304" s="7">
        <f>Dummy_Variables!I304</f>
        <v>19</v>
      </c>
      <c r="J304" s="7">
        <f>Dummy_Variables!J304</f>
        <v>87.3</v>
      </c>
      <c r="K304" s="2">
        <f>Dummy_Variables!K304</f>
        <v>1</v>
      </c>
      <c r="L304" s="7">
        <f>Dummy_Variables!L304</f>
        <v>4.7</v>
      </c>
      <c r="M304" s="2">
        <f>Dummy_Variables!M304</f>
        <v>0</v>
      </c>
      <c r="N304" s="2">
        <f>Dummy_Variables!N304</f>
        <v>0</v>
      </c>
      <c r="O304" s="2">
        <f>Dummy_Variables!O304</f>
        <v>1</v>
      </c>
      <c r="P304" s="7">
        <f t="shared" si="16"/>
        <v>759581.0920754791</v>
      </c>
      <c r="Q304" s="7">
        <f t="shared" si="17"/>
        <v>-28691.082075479091</v>
      </c>
      <c r="R304" s="7">
        <f t="shared" si="18"/>
        <v>28691.082075479091</v>
      </c>
      <c r="S304" s="2" t="str">
        <f t="shared" si="19"/>
        <v>Negative residual - actual below prediction</v>
      </c>
      <c r="T304" s="2"/>
      <c r="U304" s="2"/>
      <c r="V304" s="2"/>
    </row>
    <row r="305" spans="1:22" x14ac:dyDescent="0.35">
      <c r="A305" s="2" t="str">
        <f>Dummy_Variables!A305</f>
        <v>STR-1076</v>
      </c>
      <c r="B305" s="2" t="str">
        <f>Dummy_Variables!B305</f>
        <v>2025-04</v>
      </c>
      <c r="C305" s="2" t="str">
        <f>Dummy_Variables!C305</f>
        <v>North</v>
      </c>
      <c r="D305" s="2" t="str">
        <f>Dummy_Variables!D305</f>
        <v>Mall</v>
      </c>
      <c r="E305" s="7">
        <f>Dummy_Variables!E305</f>
        <v>780580.95</v>
      </c>
      <c r="F305" s="7">
        <f>Dummy_Variables!F305</f>
        <v>31997.25</v>
      </c>
      <c r="G305" s="7">
        <f>Dummy_Variables!G305</f>
        <v>8183</v>
      </c>
      <c r="H305" s="7">
        <f>Dummy_Variables!H305</f>
        <v>0.19800000000000001</v>
      </c>
      <c r="I305" s="7">
        <f>Dummy_Variables!I305</f>
        <v>18</v>
      </c>
      <c r="J305" s="7">
        <f>Dummy_Variables!J305</f>
        <v>93</v>
      </c>
      <c r="K305" s="2">
        <f>Dummy_Variables!K305</f>
        <v>0</v>
      </c>
      <c r="L305" s="7">
        <f>Dummy_Variables!L305</f>
        <v>4.2</v>
      </c>
      <c r="M305" s="2">
        <f>Dummy_Variables!M305</f>
        <v>0</v>
      </c>
      <c r="N305" s="2">
        <f>Dummy_Variables!N305</f>
        <v>0</v>
      </c>
      <c r="O305" s="2">
        <f>Dummy_Variables!O305</f>
        <v>1</v>
      </c>
      <c r="P305" s="7">
        <f t="shared" si="16"/>
        <v>725075.85823384882</v>
      </c>
      <c r="Q305" s="7">
        <f t="shared" si="17"/>
        <v>55505.091766151134</v>
      </c>
      <c r="R305" s="7">
        <f t="shared" si="18"/>
        <v>55505.091766151134</v>
      </c>
      <c r="S305" s="2" t="str">
        <f t="shared" si="19"/>
        <v>Positive residual - actual above prediction</v>
      </c>
      <c r="T305" s="2"/>
      <c r="U305" s="2"/>
      <c r="V305" s="2"/>
    </row>
    <row r="306" spans="1:22" x14ac:dyDescent="0.35">
      <c r="A306" s="2" t="str">
        <f>Dummy_Variables!A306</f>
        <v>STR-1077</v>
      </c>
      <c r="B306" s="2" t="str">
        <f>Dummy_Variables!B306</f>
        <v>2025-01</v>
      </c>
      <c r="C306" s="2" t="str">
        <f>Dummy_Variables!C306</f>
        <v>South</v>
      </c>
      <c r="D306" s="2" t="str">
        <f>Dummy_Variables!D306</f>
        <v>Residential</v>
      </c>
      <c r="E306" s="7">
        <f>Dummy_Variables!E306</f>
        <v>727957.48</v>
      </c>
      <c r="F306" s="7">
        <f>Dummy_Variables!F306</f>
        <v>54948.02</v>
      </c>
      <c r="G306" s="7">
        <f>Dummy_Variables!G306</f>
        <v>6534</v>
      </c>
      <c r="H306" s="7">
        <f>Dummy_Variables!H306</f>
        <v>0.183</v>
      </c>
      <c r="I306" s="7">
        <f>Dummy_Variables!I306</f>
        <v>14</v>
      </c>
      <c r="J306" s="7">
        <f>Dummy_Variables!J306</f>
        <v>94.5</v>
      </c>
      <c r="K306" s="2">
        <f>Dummy_Variables!K306</f>
        <v>0</v>
      </c>
      <c r="L306" s="7">
        <f>Dummy_Variables!L306</f>
        <v>4</v>
      </c>
      <c r="M306" s="2">
        <f>Dummy_Variables!M306</f>
        <v>0</v>
      </c>
      <c r="N306" s="2">
        <f>Dummy_Variables!N306</f>
        <v>0</v>
      </c>
      <c r="O306" s="2">
        <f>Dummy_Variables!O306</f>
        <v>0</v>
      </c>
      <c r="P306" s="7">
        <f t="shared" si="16"/>
        <v>669382.53063533874</v>
      </c>
      <c r="Q306" s="7">
        <f t="shared" si="17"/>
        <v>58574.949364661239</v>
      </c>
      <c r="R306" s="7">
        <f t="shared" si="18"/>
        <v>58574.949364661239</v>
      </c>
      <c r="S306" s="2" t="str">
        <f t="shared" si="19"/>
        <v>Positive residual - actual above prediction</v>
      </c>
      <c r="T306" s="2"/>
      <c r="U306" s="2"/>
      <c r="V306" s="2"/>
    </row>
    <row r="307" spans="1:22" x14ac:dyDescent="0.35">
      <c r="A307" s="2" t="str">
        <f>Dummy_Variables!A307</f>
        <v>STR-1077</v>
      </c>
      <c r="B307" s="2" t="str">
        <f>Dummy_Variables!B307</f>
        <v>2025-02</v>
      </c>
      <c r="C307" s="2" t="str">
        <f>Dummy_Variables!C307</f>
        <v>South</v>
      </c>
      <c r="D307" s="2" t="str">
        <f>Dummy_Variables!D307</f>
        <v>Residential</v>
      </c>
      <c r="E307" s="7">
        <f>Dummy_Variables!E307</f>
        <v>538376</v>
      </c>
      <c r="F307" s="7">
        <f>Dummy_Variables!F307</f>
        <v>46146.239999999998</v>
      </c>
      <c r="G307" s="7">
        <f>Dummy_Variables!G307</f>
        <v>5804</v>
      </c>
      <c r="H307" s="7">
        <f>Dummy_Variables!H307</f>
        <v>4.7E-2</v>
      </c>
      <c r="I307" s="7">
        <f>Dummy_Variables!I307</f>
        <v>16</v>
      </c>
      <c r="J307" s="7">
        <f>Dummy_Variables!J307</f>
        <v>86.9</v>
      </c>
      <c r="K307" s="2">
        <f>Dummy_Variables!K307</f>
        <v>0</v>
      </c>
      <c r="L307" s="7">
        <f>Dummy_Variables!L307</f>
        <v>3.8</v>
      </c>
      <c r="M307" s="2">
        <f>Dummy_Variables!M307</f>
        <v>0</v>
      </c>
      <c r="N307" s="2">
        <f>Dummy_Variables!N307</f>
        <v>0</v>
      </c>
      <c r="O307" s="2">
        <f>Dummy_Variables!O307</f>
        <v>0</v>
      </c>
      <c r="P307" s="7">
        <f t="shared" si="16"/>
        <v>627471.3352609321</v>
      </c>
      <c r="Q307" s="7">
        <f t="shared" si="17"/>
        <v>-89095.335260932101</v>
      </c>
      <c r="R307" s="7">
        <f t="shared" si="18"/>
        <v>89095.335260932101</v>
      </c>
      <c r="S307" s="2" t="str">
        <f t="shared" si="19"/>
        <v>Negative residual - actual below prediction</v>
      </c>
      <c r="T307" s="2"/>
      <c r="U307" s="2"/>
      <c r="V307" s="2"/>
    </row>
    <row r="308" spans="1:22" x14ac:dyDescent="0.35">
      <c r="A308" s="2" t="str">
        <f>Dummy_Variables!A308</f>
        <v>STR-1077</v>
      </c>
      <c r="B308" s="2" t="str">
        <f>Dummy_Variables!B308</f>
        <v>2025-03</v>
      </c>
      <c r="C308" s="2" t="str">
        <f>Dummy_Variables!C308</f>
        <v>South</v>
      </c>
      <c r="D308" s="2" t="str">
        <f>Dummy_Variables!D308</f>
        <v>Residential</v>
      </c>
      <c r="E308" s="7">
        <f>Dummy_Variables!E308</f>
        <v>665342.49</v>
      </c>
      <c r="F308" s="7">
        <f>Dummy_Variables!F308</f>
        <v>22387.26</v>
      </c>
      <c r="G308" s="7">
        <f>Dummy_Variables!G308</f>
        <v>6301</v>
      </c>
      <c r="H308" s="7">
        <f>Dummy_Variables!H308</f>
        <v>0.14599999999999999</v>
      </c>
      <c r="I308" s="7">
        <f>Dummy_Variables!I308</f>
        <v>14</v>
      </c>
      <c r="J308" s="7">
        <f>Dummy_Variables!J308</f>
        <v>85.9</v>
      </c>
      <c r="K308" s="2">
        <f>Dummy_Variables!K308</f>
        <v>1</v>
      </c>
      <c r="L308" s="7">
        <f>Dummy_Variables!L308</f>
        <v>3.7</v>
      </c>
      <c r="M308" s="2">
        <f>Dummy_Variables!M308</f>
        <v>0</v>
      </c>
      <c r="N308" s="2">
        <f>Dummy_Variables!N308</f>
        <v>0</v>
      </c>
      <c r="O308" s="2">
        <f>Dummy_Variables!O308</f>
        <v>0</v>
      </c>
      <c r="P308" s="7">
        <f t="shared" si="16"/>
        <v>609610.53631350712</v>
      </c>
      <c r="Q308" s="7">
        <f t="shared" si="17"/>
        <v>55731.953686492867</v>
      </c>
      <c r="R308" s="7">
        <f t="shared" si="18"/>
        <v>55731.953686492867</v>
      </c>
      <c r="S308" s="2" t="str">
        <f t="shared" si="19"/>
        <v>Positive residual - actual above prediction</v>
      </c>
      <c r="T308" s="2"/>
      <c r="U308" s="2"/>
      <c r="V308" s="2"/>
    </row>
    <row r="309" spans="1:22" x14ac:dyDescent="0.35">
      <c r="A309" s="2" t="str">
        <f>Dummy_Variables!A309</f>
        <v>STR-1077</v>
      </c>
      <c r="B309" s="2" t="str">
        <f>Dummy_Variables!B309</f>
        <v>2025-04</v>
      </c>
      <c r="C309" s="2" t="str">
        <f>Dummy_Variables!C309</f>
        <v>South</v>
      </c>
      <c r="D309" s="2" t="str">
        <f>Dummy_Variables!D309</f>
        <v>Residential</v>
      </c>
      <c r="E309" s="7">
        <f>Dummy_Variables!E309</f>
        <v>651164.18000000005</v>
      </c>
      <c r="F309" s="7">
        <f>Dummy_Variables!F309</f>
        <v>60684.05</v>
      </c>
      <c r="G309" s="7">
        <f>Dummy_Variables!G309</f>
        <v>6399</v>
      </c>
      <c r="H309" s="7">
        <f>Dummy_Variables!H309</f>
        <v>7.4999999999999997E-2</v>
      </c>
      <c r="I309" s="7">
        <f>Dummy_Variables!I309</f>
        <v>16</v>
      </c>
      <c r="J309" s="7">
        <f>Dummy_Variables!J309</f>
        <v>99</v>
      </c>
      <c r="K309" s="2">
        <f>Dummy_Variables!K309</f>
        <v>0</v>
      </c>
      <c r="L309" s="7">
        <f>Dummy_Variables!L309</f>
        <v>3.5</v>
      </c>
      <c r="M309" s="2">
        <f>Dummy_Variables!M309</f>
        <v>0</v>
      </c>
      <c r="N309" s="2">
        <f>Dummy_Variables!N309</f>
        <v>0</v>
      </c>
      <c r="O309" s="2">
        <f>Dummy_Variables!O309</f>
        <v>0</v>
      </c>
      <c r="P309" s="7">
        <f t="shared" si="16"/>
        <v>691953.61322631093</v>
      </c>
      <c r="Q309" s="7">
        <f t="shared" si="17"/>
        <v>-40789.433226310881</v>
      </c>
      <c r="R309" s="7">
        <f t="shared" si="18"/>
        <v>40789.433226310881</v>
      </c>
      <c r="S309" s="2" t="str">
        <f t="shared" si="19"/>
        <v>Negative residual - actual below prediction</v>
      </c>
      <c r="T309" s="2"/>
      <c r="U309" s="2"/>
      <c r="V309" s="2"/>
    </row>
    <row r="310" spans="1:22" x14ac:dyDescent="0.35">
      <c r="A310" s="2" t="str">
        <f>Dummy_Variables!A310</f>
        <v>STR-1078</v>
      </c>
      <c r="B310" s="2" t="str">
        <f>Dummy_Variables!B310</f>
        <v>2025-01</v>
      </c>
      <c r="C310" s="2" t="str">
        <f>Dummy_Variables!C310</f>
        <v>South</v>
      </c>
      <c r="D310" s="2" t="str">
        <f>Dummy_Variables!D310</f>
        <v>High Street</v>
      </c>
      <c r="E310" s="7">
        <f>Dummy_Variables!E310</f>
        <v>628538.30000000005</v>
      </c>
      <c r="F310" s="7">
        <f>Dummy_Variables!F310</f>
        <v>48465.599999999999</v>
      </c>
      <c r="G310" s="7">
        <f>Dummy_Variables!G310</f>
        <v>5759</v>
      </c>
      <c r="H310" s="7">
        <f>Dummy_Variables!H310</f>
        <v>0.154</v>
      </c>
      <c r="I310" s="7">
        <f>Dummy_Variables!I310</f>
        <v>13</v>
      </c>
      <c r="J310" s="7">
        <f>Dummy_Variables!J310</f>
        <v>87.5</v>
      </c>
      <c r="K310" s="2">
        <f>Dummy_Variables!K310</f>
        <v>0</v>
      </c>
      <c r="L310" s="7">
        <f>Dummy_Variables!L310</f>
        <v>4</v>
      </c>
      <c r="M310" s="2">
        <f>Dummy_Variables!M310</f>
        <v>0</v>
      </c>
      <c r="N310" s="2">
        <f>Dummy_Variables!N310</f>
        <v>1</v>
      </c>
      <c r="O310" s="2">
        <f>Dummy_Variables!O310</f>
        <v>0</v>
      </c>
      <c r="P310" s="7">
        <f t="shared" si="16"/>
        <v>635770.35374704748</v>
      </c>
      <c r="Q310" s="7">
        <f t="shared" si="17"/>
        <v>-7232.0537470474374</v>
      </c>
      <c r="R310" s="7">
        <f t="shared" si="18"/>
        <v>7232.0537470474374</v>
      </c>
      <c r="S310" s="2" t="str">
        <f t="shared" si="19"/>
        <v>Negative residual - actual below prediction</v>
      </c>
      <c r="T310" s="2"/>
      <c r="U310" s="2"/>
      <c r="V310" s="2"/>
    </row>
    <row r="311" spans="1:22" x14ac:dyDescent="0.35">
      <c r="A311" s="2" t="str">
        <f>Dummy_Variables!A311</f>
        <v>STR-1078</v>
      </c>
      <c r="B311" s="2" t="str">
        <f>Dummy_Variables!B311</f>
        <v>2025-02</v>
      </c>
      <c r="C311" s="2" t="str">
        <f>Dummy_Variables!C311</f>
        <v>South</v>
      </c>
      <c r="D311" s="2" t="str">
        <f>Dummy_Variables!D311</f>
        <v>High Street</v>
      </c>
      <c r="E311" s="7">
        <f>Dummy_Variables!E311</f>
        <v>536524.84</v>
      </c>
      <c r="F311" s="7">
        <f>Dummy_Variables!F311</f>
        <v>23702.38</v>
      </c>
      <c r="G311" s="7">
        <f>Dummy_Variables!G311</f>
        <v>5285</v>
      </c>
      <c r="H311" s="7">
        <f>Dummy_Variables!H311</f>
        <v>0.16700000000000001</v>
      </c>
      <c r="I311" s="7">
        <f>Dummy_Variables!I311</f>
        <v>14</v>
      </c>
      <c r="J311" s="7">
        <f>Dummy_Variables!J311</f>
        <v>79.7</v>
      </c>
      <c r="K311" s="2">
        <f>Dummy_Variables!K311</f>
        <v>0</v>
      </c>
      <c r="L311" s="7">
        <f>Dummy_Variables!L311</f>
        <v>4.3</v>
      </c>
      <c r="M311" s="2">
        <f>Dummy_Variables!M311</f>
        <v>0</v>
      </c>
      <c r="N311" s="2">
        <f>Dummy_Variables!N311</f>
        <v>1</v>
      </c>
      <c r="O311" s="2">
        <f>Dummy_Variables!O311</f>
        <v>0</v>
      </c>
      <c r="P311" s="7">
        <f t="shared" si="16"/>
        <v>576015.08617162821</v>
      </c>
      <c r="Q311" s="7">
        <f t="shared" si="17"/>
        <v>-39490.246171628241</v>
      </c>
      <c r="R311" s="7">
        <f t="shared" si="18"/>
        <v>39490.246171628241</v>
      </c>
      <c r="S311" s="2" t="str">
        <f t="shared" si="19"/>
        <v>Negative residual - actual below prediction</v>
      </c>
      <c r="T311" s="2"/>
      <c r="U311" s="2"/>
      <c r="V311" s="2"/>
    </row>
    <row r="312" spans="1:22" x14ac:dyDescent="0.35">
      <c r="A312" s="2" t="str">
        <f>Dummy_Variables!A312</f>
        <v>STR-1078</v>
      </c>
      <c r="B312" s="2" t="str">
        <f>Dummy_Variables!B312</f>
        <v>2025-03</v>
      </c>
      <c r="C312" s="2" t="str">
        <f>Dummy_Variables!C312</f>
        <v>South</v>
      </c>
      <c r="D312" s="2" t="str">
        <f>Dummy_Variables!D312</f>
        <v>High Street</v>
      </c>
      <c r="E312" s="7">
        <f>Dummy_Variables!E312</f>
        <v>621677.30000000005</v>
      </c>
      <c r="F312" s="7">
        <f>Dummy_Variables!F312</f>
        <v>54322.94</v>
      </c>
      <c r="G312" s="7">
        <f>Dummy_Variables!G312</f>
        <v>5434</v>
      </c>
      <c r="H312" s="7">
        <f>Dummy_Variables!H312</f>
        <v>0.2</v>
      </c>
      <c r="I312" s="7">
        <f>Dummy_Variables!I312</f>
        <v>13</v>
      </c>
      <c r="J312" s="7">
        <f>Dummy_Variables!J312</f>
        <v>85.7</v>
      </c>
      <c r="K312" s="2">
        <f>Dummy_Variables!K312</f>
        <v>0</v>
      </c>
      <c r="L312" s="7">
        <f>Dummy_Variables!L312</f>
        <v>4.2</v>
      </c>
      <c r="M312" s="2">
        <f>Dummy_Variables!M312</f>
        <v>0</v>
      </c>
      <c r="N312" s="2">
        <f>Dummy_Variables!N312</f>
        <v>1</v>
      </c>
      <c r="O312" s="2">
        <f>Dummy_Variables!O312</f>
        <v>0</v>
      </c>
      <c r="P312" s="7">
        <f t="shared" si="16"/>
        <v>627477.19231435691</v>
      </c>
      <c r="Q312" s="7">
        <f t="shared" si="17"/>
        <v>-5799.8923143568682</v>
      </c>
      <c r="R312" s="7">
        <f t="shared" si="18"/>
        <v>5799.8923143568682</v>
      </c>
      <c r="S312" s="2" t="str">
        <f t="shared" si="19"/>
        <v>Negative residual - actual below prediction</v>
      </c>
      <c r="T312" s="2"/>
      <c r="U312" s="2"/>
      <c r="V312" s="2"/>
    </row>
    <row r="313" spans="1:22" x14ac:dyDescent="0.35">
      <c r="A313" s="2" t="str">
        <f>Dummy_Variables!A313</f>
        <v>STR-1078</v>
      </c>
      <c r="B313" s="2" t="str">
        <f>Dummy_Variables!B313</f>
        <v>2025-04</v>
      </c>
      <c r="C313" s="2" t="str">
        <f>Dummy_Variables!C313</f>
        <v>South</v>
      </c>
      <c r="D313" s="2" t="str">
        <f>Dummy_Variables!D313</f>
        <v>High Street</v>
      </c>
      <c r="E313" s="7">
        <f>Dummy_Variables!E313</f>
        <v>771129.07</v>
      </c>
      <c r="F313" s="7">
        <f>Dummy_Variables!F313</f>
        <v>86026.58</v>
      </c>
      <c r="G313" s="7">
        <f>Dummy_Variables!G313</f>
        <v>7479</v>
      </c>
      <c r="H313" s="7">
        <f>Dummy_Variables!H313</f>
        <v>0.14199999999999999</v>
      </c>
      <c r="I313" s="7">
        <f>Dummy_Variables!I313</f>
        <v>20</v>
      </c>
      <c r="J313" s="7">
        <f>Dummy_Variables!J313</f>
        <v>89</v>
      </c>
      <c r="K313" s="2">
        <f>Dummy_Variables!K313</f>
        <v>0</v>
      </c>
      <c r="L313" s="7">
        <f>Dummy_Variables!L313</f>
        <v>0</v>
      </c>
      <c r="M313" s="2">
        <f>Dummy_Variables!M313</f>
        <v>0</v>
      </c>
      <c r="N313" s="2">
        <f>Dummy_Variables!N313</f>
        <v>1</v>
      </c>
      <c r="O313" s="2">
        <f>Dummy_Variables!O313</f>
        <v>0</v>
      </c>
      <c r="P313" s="7">
        <f t="shared" si="16"/>
        <v>701146.33491912519</v>
      </c>
      <c r="Q313" s="7">
        <f t="shared" si="17"/>
        <v>69982.735080874758</v>
      </c>
      <c r="R313" s="7">
        <f t="shared" si="18"/>
        <v>69982.735080874758</v>
      </c>
      <c r="S313" s="2" t="str">
        <f t="shared" si="19"/>
        <v>Positive residual - actual above prediction</v>
      </c>
      <c r="T313" s="2"/>
      <c r="U313" s="2"/>
      <c r="V313" s="2"/>
    </row>
    <row r="314" spans="1:22" x14ac:dyDescent="0.35">
      <c r="A314" s="2" t="str">
        <f>Dummy_Variables!A314</f>
        <v>STR-1079</v>
      </c>
      <c r="B314" s="2" t="str">
        <f>Dummy_Variables!B314</f>
        <v>2025-01</v>
      </c>
      <c r="C314" s="2" t="str">
        <f>Dummy_Variables!C314</f>
        <v>North</v>
      </c>
      <c r="D314" s="2" t="str">
        <f>Dummy_Variables!D314</f>
        <v>Residential</v>
      </c>
      <c r="E314" s="7">
        <f>Dummy_Variables!E314</f>
        <v>702052.47</v>
      </c>
      <c r="F314" s="7">
        <f>Dummy_Variables!F314</f>
        <v>78967.520000000004</v>
      </c>
      <c r="G314" s="7">
        <f>Dummy_Variables!G314</f>
        <v>6164</v>
      </c>
      <c r="H314" s="7">
        <f>Dummy_Variables!H314</f>
        <v>2.1000000000000001E-2</v>
      </c>
      <c r="I314" s="7">
        <f>Dummy_Variables!I314</f>
        <v>16</v>
      </c>
      <c r="J314" s="7">
        <f>Dummy_Variables!J314</f>
        <v>85.5</v>
      </c>
      <c r="K314" s="2">
        <f>Dummy_Variables!K314</f>
        <v>0</v>
      </c>
      <c r="L314" s="7">
        <f>Dummy_Variables!L314</f>
        <v>3.4</v>
      </c>
      <c r="M314" s="2">
        <f>Dummy_Variables!M314</f>
        <v>0</v>
      </c>
      <c r="N314" s="2">
        <f>Dummy_Variables!N314</f>
        <v>0</v>
      </c>
      <c r="O314" s="2">
        <f>Dummy_Variables!O314</f>
        <v>0</v>
      </c>
      <c r="P314" s="7">
        <f t="shared" si="16"/>
        <v>667933.14578269527</v>
      </c>
      <c r="Q314" s="7">
        <f t="shared" si="17"/>
        <v>34119.324217304704</v>
      </c>
      <c r="R314" s="7">
        <f t="shared" si="18"/>
        <v>34119.324217304704</v>
      </c>
      <c r="S314" s="2" t="str">
        <f t="shared" si="19"/>
        <v>Positive residual - actual above prediction</v>
      </c>
      <c r="T314" s="2"/>
      <c r="U314" s="2"/>
      <c r="V314" s="2"/>
    </row>
    <row r="315" spans="1:22" x14ac:dyDescent="0.35">
      <c r="A315" s="2" t="str">
        <f>Dummy_Variables!A315</f>
        <v>STR-1079</v>
      </c>
      <c r="B315" s="2" t="str">
        <f>Dummy_Variables!B315</f>
        <v>2025-02</v>
      </c>
      <c r="C315" s="2" t="str">
        <f>Dummy_Variables!C315</f>
        <v>North</v>
      </c>
      <c r="D315" s="2" t="str">
        <f>Dummy_Variables!D315</f>
        <v>Residential</v>
      </c>
      <c r="E315" s="7">
        <f>Dummy_Variables!E315</f>
        <v>688368.46</v>
      </c>
      <c r="F315" s="7">
        <f>Dummy_Variables!F315</f>
        <v>46767.99</v>
      </c>
      <c r="G315" s="7">
        <f>Dummy_Variables!G315</f>
        <v>7973</v>
      </c>
      <c r="H315" s="7">
        <f>Dummy_Variables!H315</f>
        <v>0.183</v>
      </c>
      <c r="I315" s="7">
        <f>Dummy_Variables!I315</f>
        <v>18</v>
      </c>
      <c r="J315" s="7">
        <f>Dummy_Variables!J315</f>
        <v>94.8</v>
      </c>
      <c r="K315" s="2">
        <f>Dummy_Variables!K315</f>
        <v>0</v>
      </c>
      <c r="L315" s="7">
        <f>Dummy_Variables!L315</f>
        <v>0</v>
      </c>
      <c r="M315" s="2">
        <f>Dummy_Variables!M315</f>
        <v>0</v>
      </c>
      <c r="N315" s="2">
        <f>Dummy_Variables!N315</f>
        <v>0</v>
      </c>
      <c r="O315" s="2">
        <f>Dummy_Variables!O315</f>
        <v>0</v>
      </c>
      <c r="P315" s="7">
        <f t="shared" si="16"/>
        <v>660998.3873996092</v>
      </c>
      <c r="Q315" s="7">
        <f t="shared" si="17"/>
        <v>27370.072600390762</v>
      </c>
      <c r="R315" s="7">
        <f t="shared" si="18"/>
        <v>27370.072600390762</v>
      </c>
      <c r="S315" s="2" t="str">
        <f t="shared" si="19"/>
        <v>Positive residual - actual above prediction</v>
      </c>
      <c r="T315" s="2"/>
      <c r="U315" s="2"/>
      <c r="V315" s="2"/>
    </row>
    <row r="316" spans="1:22" x14ac:dyDescent="0.35">
      <c r="A316" s="2" t="str">
        <f>Dummy_Variables!A316</f>
        <v>STR-1079</v>
      </c>
      <c r="B316" s="2" t="str">
        <f>Dummy_Variables!B316</f>
        <v>2025-03</v>
      </c>
      <c r="C316" s="2" t="str">
        <f>Dummy_Variables!C316</f>
        <v>North</v>
      </c>
      <c r="D316" s="2" t="str">
        <f>Dummy_Variables!D316</f>
        <v>Residential</v>
      </c>
      <c r="E316" s="7">
        <f>Dummy_Variables!E316</f>
        <v>712375.77</v>
      </c>
      <c r="F316" s="7">
        <f>Dummy_Variables!F316</f>
        <v>62507.16</v>
      </c>
      <c r="G316" s="7">
        <f>Dummy_Variables!G316</f>
        <v>6000</v>
      </c>
      <c r="H316" s="7">
        <f>Dummy_Variables!H316</f>
        <v>9.0999999999999998E-2</v>
      </c>
      <c r="I316" s="7">
        <f>Dummy_Variables!I316</f>
        <v>14</v>
      </c>
      <c r="J316" s="7">
        <f>Dummy_Variables!J316</f>
        <v>98.2</v>
      </c>
      <c r="K316" s="2">
        <f>Dummy_Variables!K316</f>
        <v>1</v>
      </c>
      <c r="L316" s="7">
        <f>Dummy_Variables!L316</f>
        <v>3.9</v>
      </c>
      <c r="M316" s="2">
        <f>Dummy_Variables!M316</f>
        <v>0</v>
      </c>
      <c r="N316" s="2">
        <f>Dummy_Variables!N316</f>
        <v>0</v>
      </c>
      <c r="O316" s="2">
        <f>Dummy_Variables!O316</f>
        <v>0</v>
      </c>
      <c r="P316" s="7">
        <f t="shared" si="16"/>
        <v>690746.33490272576</v>
      </c>
      <c r="Q316" s="7">
        <f t="shared" si="17"/>
        <v>21629.435097274254</v>
      </c>
      <c r="R316" s="7">
        <f t="shared" si="18"/>
        <v>21629.435097274254</v>
      </c>
      <c r="S316" s="2" t="str">
        <f t="shared" si="19"/>
        <v>Positive residual - actual above prediction</v>
      </c>
      <c r="T316" s="2"/>
      <c r="U316" s="2"/>
      <c r="V316" s="2"/>
    </row>
    <row r="317" spans="1:22" x14ac:dyDescent="0.35">
      <c r="A317" s="2" t="str">
        <f>Dummy_Variables!A317</f>
        <v>STR-1079</v>
      </c>
      <c r="B317" s="2" t="str">
        <f>Dummy_Variables!B317</f>
        <v>2025-04</v>
      </c>
      <c r="C317" s="2" t="str">
        <f>Dummy_Variables!C317</f>
        <v>North</v>
      </c>
      <c r="D317" s="2" t="str">
        <f>Dummy_Variables!D317</f>
        <v>Residential</v>
      </c>
      <c r="E317" s="7">
        <f>Dummy_Variables!E317</f>
        <v>844710.67</v>
      </c>
      <c r="F317" s="7">
        <f>Dummy_Variables!F317</f>
        <v>66456.28</v>
      </c>
      <c r="G317" s="7">
        <f>Dummy_Variables!G317</f>
        <v>9967</v>
      </c>
      <c r="H317" s="7">
        <f>Dummy_Variables!H317</f>
        <v>0.108</v>
      </c>
      <c r="I317" s="7">
        <f>Dummy_Variables!I317</f>
        <v>20</v>
      </c>
      <c r="J317" s="7">
        <f>Dummy_Variables!J317</f>
        <v>94.7</v>
      </c>
      <c r="K317" s="2">
        <f>Dummy_Variables!K317</f>
        <v>0</v>
      </c>
      <c r="L317" s="7">
        <f>Dummy_Variables!L317</f>
        <v>4.2</v>
      </c>
      <c r="M317" s="2">
        <f>Dummy_Variables!M317</f>
        <v>0</v>
      </c>
      <c r="N317" s="2">
        <f>Dummy_Variables!N317</f>
        <v>0</v>
      </c>
      <c r="O317" s="2">
        <f>Dummy_Variables!O317</f>
        <v>0</v>
      </c>
      <c r="P317" s="7">
        <f t="shared" si="16"/>
        <v>805285.4530712741</v>
      </c>
      <c r="Q317" s="7">
        <f t="shared" si="17"/>
        <v>39425.216928725946</v>
      </c>
      <c r="R317" s="7">
        <f t="shared" si="18"/>
        <v>39425.216928725946</v>
      </c>
      <c r="S317" s="2" t="str">
        <f t="shared" si="19"/>
        <v>Positive residual - actual above prediction</v>
      </c>
      <c r="T317" s="2"/>
      <c r="U317" s="2"/>
      <c r="V317" s="2"/>
    </row>
    <row r="318" spans="1:22" x14ac:dyDescent="0.35">
      <c r="A318" s="2" t="str">
        <f>Dummy_Variables!A318</f>
        <v>STR-1080</v>
      </c>
      <c r="B318" s="2" t="str">
        <f>Dummy_Variables!B318</f>
        <v>2025-01</v>
      </c>
      <c r="C318" s="2" t="str">
        <f>Dummy_Variables!C318</f>
        <v>East</v>
      </c>
      <c r="D318" s="2" t="str">
        <f>Dummy_Variables!D318</f>
        <v>Residential</v>
      </c>
      <c r="E318" s="7">
        <f>Dummy_Variables!E318</f>
        <v>620264.19999999995</v>
      </c>
      <c r="F318" s="7">
        <f>Dummy_Variables!F318</f>
        <v>76614.320000000007</v>
      </c>
      <c r="G318" s="7">
        <f>Dummy_Variables!G318</f>
        <v>5639</v>
      </c>
      <c r="H318" s="7">
        <f>Dummy_Variables!H318</f>
        <v>0.17399999999999999</v>
      </c>
      <c r="I318" s="7">
        <f>Dummy_Variables!I318</f>
        <v>15</v>
      </c>
      <c r="J318" s="7">
        <f>Dummy_Variables!J318</f>
        <v>92.9</v>
      </c>
      <c r="K318" s="2">
        <f>Dummy_Variables!K318</f>
        <v>1</v>
      </c>
      <c r="L318" s="7">
        <f>Dummy_Variables!L318</f>
        <v>4</v>
      </c>
      <c r="M318" s="2">
        <f>Dummy_Variables!M318</f>
        <v>0</v>
      </c>
      <c r="N318" s="2">
        <f>Dummy_Variables!N318</f>
        <v>0</v>
      </c>
      <c r="O318" s="2">
        <f>Dummy_Variables!O318</f>
        <v>0</v>
      </c>
      <c r="P318" s="7">
        <f t="shared" si="16"/>
        <v>679522.63037247979</v>
      </c>
      <c r="Q318" s="7">
        <f t="shared" si="17"/>
        <v>-59258.430372479837</v>
      </c>
      <c r="R318" s="7">
        <f t="shared" si="18"/>
        <v>59258.430372479837</v>
      </c>
      <c r="S318" s="2" t="str">
        <f t="shared" si="19"/>
        <v>Negative residual - actual below prediction</v>
      </c>
      <c r="T318" s="2"/>
      <c r="U318" s="2"/>
      <c r="V318" s="2"/>
    </row>
    <row r="319" spans="1:22" x14ac:dyDescent="0.35">
      <c r="A319" s="2" t="str">
        <f>Dummy_Variables!A319</f>
        <v>STR-1080</v>
      </c>
      <c r="B319" s="2" t="str">
        <f>Dummy_Variables!B319</f>
        <v>2025-02</v>
      </c>
      <c r="C319" s="2" t="str">
        <f>Dummy_Variables!C319</f>
        <v>East</v>
      </c>
      <c r="D319" s="2" t="str">
        <f>Dummy_Variables!D319</f>
        <v>Residential</v>
      </c>
      <c r="E319" s="7">
        <f>Dummy_Variables!E319</f>
        <v>536845.42000000004</v>
      </c>
      <c r="F319" s="7">
        <f>Dummy_Variables!F319</f>
        <v>24088.06</v>
      </c>
      <c r="G319" s="7">
        <f>Dummy_Variables!G319</f>
        <v>3466</v>
      </c>
      <c r="H319" s="7">
        <f>Dummy_Variables!H319</f>
        <v>0</v>
      </c>
      <c r="I319" s="7">
        <f>Dummy_Variables!I319</f>
        <v>11</v>
      </c>
      <c r="J319" s="7">
        <f>Dummy_Variables!J319</f>
        <v>88</v>
      </c>
      <c r="K319" s="2">
        <f>Dummy_Variables!K319</f>
        <v>0</v>
      </c>
      <c r="L319" s="7">
        <f>Dummy_Variables!L319</f>
        <v>3.8</v>
      </c>
      <c r="M319" s="2">
        <f>Dummy_Variables!M319</f>
        <v>0</v>
      </c>
      <c r="N319" s="2">
        <f>Dummy_Variables!N319</f>
        <v>0</v>
      </c>
      <c r="O319" s="2">
        <f>Dummy_Variables!O319</f>
        <v>0</v>
      </c>
      <c r="P319" s="7">
        <f t="shared" si="16"/>
        <v>527795.21823106892</v>
      </c>
      <c r="Q319" s="7">
        <f t="shared" si="17"/>
        <v>9050.2017689311178</v>
      </c>
      <c r="R319" s="7">
        <f t="shared" si="18"/>
        <v>9050.2017689311178</v>
      </c>
      <c r="S319" s="2" t="str">
        <f t="shared" si="19"/>
        <v>Positive residual - actual above prediction</v>
      </c>
      <c r="T319" s="2"/>
      <c r="U319" s="2"/>
      <c r="V319" s="2"/>
    </row>
    <row r="320" spans="1:22" x14ac:dyDescent="0.35">
      <c r="A320" s="2" t="str">
        <f>Dummy_Variables!A320</f>
        <v>STR-1080</v>
      </c>
      <c r="B320" s="2" t="str">
        <f>Dummy_Variables!B320</f>
        <v>2025-03</v>
      </c>
      <c r="C320" s="2" t="str">
        <f>Dummy_Variables!C320</f>
        <v>East</v>
      </c>
      <c r="D320" s="2" t="str">
        <f>Dummy_Variables!D320</f>
        <v>Residential</v>
      </c>
      <c r="E320" s="7">
        <f>Dummy_Variables!E320</f>
        <v>726776.22</v>
      </c>
      <c r="F320" s="7">
        <f>Dummy_Variables!F320</f>
        <v>81902.58</v>
      </c>
      <c r="G320" s="7">
        <f>Dummy_Variables!G320</f>
        <v>7775</v>
      </c>
      <c r="H320" s="7">
        <f>Dummy_Variables!H320</f>
        <v>0.215</v>
      </c>
      <c r="I320" s="7">
        <f>Dummy_Variables!I320</f>
        <v>20</v>
      </c>
      <c r="J320" s="7">
        <f>Dummy_Variables!J320</f>
        <v>85.2</v>
      </c>
      <c r="K320" s="2">
        <f>Dummy_Variables!K320</f>
        <v>1</v>
      </c>
      <c r="L320" s="7">
        <f>Dummy_Variables!L320</f>
        <v>4.2</v>
      </c>
      <c r="M320" s="2">
        <f>Dummy_Variables!M320</f>
        <v>0</v>
      </c>
      <c r="N320" s="2">
        <f>Dummy_Variables!N320</f>
        <v>0</v>
      </c>
      <c r="O320" s="2">
        <f>Dummy_Variables!O320</f>
        <v>0</v>
      </c>
      <c r="P320" s="7">
        <f t="shared" si="16"/>
        <v>737151.95450204785</v>
      </c>
      <c r="Q320" s="7">
        <f t="shared" si="17"/>
        <v>-10375.734502047882</v>
      </c>
      <c r="R320" s="7">
        <f t="shared" si="18"/>
        <v>10375.734502047882</v>
      </c>
      <c r="S320" s="2" t="str">
        <f t="shared" si="19"/>
        <v>Negative residual - actual below prediction</v>
      </c>
      <c r="T320" s="2"/>
      <c r="U320" s="2"/>
      <c r="V320" s="2"/>
    </row>
    <row r="321" spans="1:22" x14ac:dyDescent="0.35">
      <c r="A321" s="2" t="str">
        <f>Dummy_Variables!A321</f>
        <v>STR-1080</v>
      </c>
      <c r="B321" s="2" t="str">
        <f>Dummy_Variables!B321</f>
        <v>2025-04</v>
      </c>
      <c r="C321" s="2" t="str">
        <f>Dummy_Variables!C321</f>
        <v>East</v>
      </c>
      <c r="D321" s="2" t="str">
        <f>Dummy_Variables!D321</f>
        <v>Residential</v>
      </c>
      <c r="E321" s="7">
        <f>Dummy_Variables!E321</f>
        <v>559660.84</v>
      </c>
      <c r="F321" s="7">
        <f>Dummy_Variables!F321</f>
        <v>40553.11</v>
      </c>
      <c r="G321" s="7">
        <f>Dummy_Variables!G321</f>
        <v>5317</v>
      </c>
      <c r="H321" s="7">
        <f>Dummy_Variables!H321</f>
        <v>0.16500000000000001</v>
      </c>
      <c r="I321" s="7">
        <f>Dummy_Variables!I321</f>
        <v>17</v>
      </c>
      <c r="J321" s="7">
        <f>Dummy_Variables!J321</f>
        <v>84.3</v>
      </c>
      <c r="K321" s="2">
        <f>Dummy_Variables!K321</f>
        <v>0</v>
      </c>
      <c r="L321" s="7">
        <f>Dummy_Variables!L321</f>
        <v>4.0999999999999996</v>
      </c>
      <c r="M321" s="2">
        <f>Dummy_Variables!M321</f>
        <v>0</v>
      </c>
      <c r="N321" s="2">
        <f>Dummy_Variables!N321</f>
        <v>0</v>
      </c>
      <c r="O321" s="2">
        <f>Dummy_Variables!O321</f>
        <v>0</v>
      </c>
      <c r="P321" s="7">
        <f t="shared" si="16"/>
        <v>598341.40175706777</v>
      </c>
      <c r="Q321" s="7">
        <f t="shared" si="17"/>
        <v>-38680.5617570678</v>
      </c>
      <c r="R321" s="7">
        <f t="shared" si="18"/>
        <v>38680.5617570678</v>
      </c>
      <c r="S321" s="2" t="str">
        <f t="shared" si="19"/>
        <v>Negative residual - actual below prediction</v>
      </c>
      <c r="T321" s="2"/>
      <c r="U321" s="2"/>
      <c r="V32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0" customWidth="1"/>
    <col min="3" max="3" width="57" customWidth="1"/>
    <col min="4" max="4" width="21" customWidth="1"/>
    <col min="5" max="5" width="57" customWidth="1"/>
    <col min="6" max="6" width="34" customWidth="1"/>
    <col min="7" max="7" width="16" customWidth="1"/>
  </cols>
  <sheetData>
    <row r="1" spans="1:7" x14ac:dyDescent="0.35">
      <c r="A1" s="1" t="s">
        <v>146</v>
      </c>
      <c r="B1" s="1" t="s">
        <v>115</v>
      </c>
      <c r="C1" s="1" t="s">
        <v>116</v>
      </c>
      <c r="D1" s="1" t="s">
        <v>118</v>
      </c>
      <c r="E1" s="1" t="s">
        <v>147</v>
      </c>
      <c r="F1" s="1" t="s">
        <v>148</v>
      </c>
      <c r="G1" s="1" t="s">
        <v>149</v>
      </c>
    </row>
    <row r="2" spans="1:7" x14ac:dyDescent="0.35">
      <c r="A2" s="2" t="s">
        <v>114</v>
      </c>
      <c r="B2" s="2" t="s">
        <v>12</v>
      </c>
      <c r="C2" s="2" t="s">
        <v>4</v>
      </c>
      <c r="D2" s="6">
        <v>0.16724469112486989</v>
      </c>
      <c r="E2" s="2" t="s">
        <v>4</v>
      </c>
      <c r="F2" s="2" t="s">
        <v>150</v>
      </c>
      <c r="G2" s="2" t="s">
        <v>151</v>
      </c>
    </row>
    <row r="3" spans="1:7" x14ac:dyDescent="0.35">
      <c r="A3" s="2" t="s">
        <v>132</v>
      </c>
      <c r="B3" s="2" t="s">
        <v>12</v>
      </c>
      <c r="C3" s="2" t="s">
        <v>5</v>
      </c>
      <c r="D3" s="6">
        <v>0.73628534000331103</v>
      </c>
      <c r="E3" s="2" t="s">
        <v>5</v>
      </c>
      <c r="F3" s="2" t="s">
        <v>150</v>
      </c>
      <c r="G3" s="2" t="s">
        <v>151</v>
      </c>
    </row>
    <row r="4" spans="1:7" ht="43.5" x14ac:dyDescent="0.35">
      <c r="A4" s="2" t="s">
        <v>135</v>
      </c>
      <c r="B4" s="2" t="s">
        <v>12</v>
      </c>
      <c r="C4" s="2" t="s">
        <v>136</v>
      </c>
      <c r="D4" s="6">
        <v>0.82562309047058657</v>
      </c>
      <c r="E4" s="2" t="s">
        <v>152</v>
      </c>
      <c r="F4" s="2" t="s">
        <v>153</v>
      </c>
      <c r="G4" s="2" t="s">
        <v>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AAB2-DD58-4C64-8BC4-66E84FECD144}">
  <dimension ref="A1:C20"/>
  <sheetViews>
    <sheetView topLeftCell="A7" workbookViewId="0">
      <selection activeCell="C16" sqref="C16"/>
    </sheetView>
  </sheetViews>
  <sheetFormatPr defaultRowHeight="14.5" x14ac:dyDescent="0.35"/>
  <cols>
    <col min="1" max="1" width="31.08984375" customWidth="1"/>
    <col min="2" max="2" width="19.08984375" customWidth="1"/>
    <col min="3" max="3" width="116.26953125" bestFit="1" customWidth="1"/>
  </cols>
  <sheetData>
    <row r="1" spans="1:3" x14ac:dyDescent="0.35">
      <c r="C1" t="s">
        <v>181</v>
      </c>
    </row>
    <row r="2" spans="1:3" x14ac:dyDescent="0.35">
      <c r="A2" t="s">
        <v>155</v>
      </c>
      <c r="B2" t="s">
        <v>156</v>
      </c>
      <c r="C2" t="s">
        <v>177</v>
      </c>
    </row>
    <row r="3" spans="1:3" x14ac:dyDescent="0.35">
      <c r="A3" t="s">
        <v>157</v>
      </c>
      <c r="B3" t="s">
        <v>162</v>
      </c>
      <c r="C3" t="s">
        <v>176</v>
      </c>
    </row>
    <row r="4" spans="1:3" x14ac:dyDescent="0.35">
      <c r="A4" t="s">
        <v>157</v>
      </c>
      <c r="B4" t="s">
        <v>163</v>
      </c>
      <c r="C4" t="s">
        <v>178</v>
      </c>
    </row>
    <row r="5" spans="1:3" x14ac:dyDescent="0.35">
      <c r="A5" t="s">
        <v>157</v>
      </c>
      <c r="B5" t="s">
        <v>164</v>
      </c>
      <c r="C5" t="s">
        <v>179</v>
      </c>
    </row>
    <row r="6" spans="1:3" x14ac:dyDescent="0.35">
      <c r="A6" t="s">
        <v>157</v>
      </c>
      <c r="B6" t="s">
        <v>166</v>
      </c>
      <c r="C6" t="s">
        <v>180</v>
      </c>
    </row>
    <row r="7" spans="1:3" x14ac:dyDescent="0.35">
      <c r="A7" t="s">
        <v>157</v>
      </c>
      <c r="B7" t="s">
        <v>165</v>
      </c>
      <c r="C7" t="s">
        <v>193</v>
      </c>
    </row>
    <row r="8" spans="1:3" x14ac:dyDescent="0.35">
      <c r="A8" t="s">
        <v>158</v>
      </c>
      <c r="B8" t="s">
        <v>168</v>
      </c>
      <c r="C8" t="s">
        <v>194</v>
      </c>
    </row>
    <row r="9" spans="1:3" x14ac:dyDescent="0.35">
      <c r="A9" t="s">
        <v>158</v>
      </c>
      <c r="B9" t="s">
        <v>169</v>
      </c>
      <c r="C9" t="s">
        <v>195</v>
      </c>
    </row>
    <row r="10" spans="1:3" x14ac:dyDescent="0.35">
      <c r="A10" t="s">
        <v>158</v>
      </c>
      <c r="B10" t="s">
        <v>167</v>
      </c>
      <c r="C10" t="s">
        <v>191</v>
      </c>
    </row>
    <row r="11" spans="1:3" x14ac:dyDescent="0.35">
      <c r="A11" t="s">
        <v>159</v>
      </c>
      <c r="B11" t="s">
        <v>170</v>
      </c>
      <c r="C11" t="s">
        <v>192</v>
      </c>
    </row>
    <row r="12" spans="1:3" x14ac:dyDescent="0.35">
      <c r="A12" t="s">
        <v>159</v>
      </c>
      <c r="B12" t="s">
        <v>171</v>
      </c>
      <c r="C12" t="s">
        <v>189</v>
      </c>
    </row>
    <row r="13" spans="1:3" x14ac:dyDescent="0.35">
      <c r="A13" t="s">
        <v>159</v>
      </c>
      <c r="B13" t="s">
        <v>172</v>
      </c>
      <c r="C13" t="s">
        <v>190</v>
      </c>
    </row>
    <row r="14" spans="1:3" x14ac:dyDescent="0.35">
      <c r="A14" t="s">
        <v>160</v>
      </c>
      <c r="B14" t="s">
        <v>173</v>
      </c>
      <c r="C14" t="s">
        <v>188</v>
      </c>
    </row>
    <row r="15" spans="1:3" x14ac:dyDescent="0.35">
      <c r="A15" t="s">
        <v>160</v>
      </c>
      <c r="B15" t="s">
        <v>171</v>
      </c>
      <c r="C15" t="s">
        <v>187</v>
      </c>
    </row>
    <row r="16" spans="1:3" x14ac:dyDescent="0.35">
      <c r="A16" t="s">
        <v>160</v>
      </c>
      <c r="B16" t="s">
        <v>172</v>
      </c>
      <c r="C16" t="s">
        <v>186</v>
      </c>
    </row>
    <row r="17" spans="1:3" x14ac:dyDescent="0.35">
      <c r="A17" t="s">
        <v>161</v>
      </c>
      <c r="B17" t="s">
        <v>174</v>
      </c>
      <c r="C17" t="s">
        <v>185</v>
      </c>
    </row>
    <row r="18" spans="1:3" x14ac:dyDescent="0.35">
      <c r="A18" t="s">
        <v>161</v>
      </c>
      <c r="B18" t="s">
        <v>175</v>
      </c>
      <c r="C18" t="s">
        <v>182</v>
      </c>
    </row>
    <row r="19" spans="1:3" x14ac:dyDescent="0.35">
      <c r="A19" t="s">
        <v>161</v>
      </c>
      <c r="B19" t="s">
        <v>166</v>
      </c>
      <c r="C19" t="s">
        <v>183</v>
      </c>
    </row>
    <row r="20" spans="1:3" x14ac:dyDescent="0.35">
      <c r="A20" t="s">
        <v>161</v>
      </c>
      <c r="B20" t="s">
        <v>165</v>
      </c>
      <c r="C20" t="s">
        <v>184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Original_Dataset</vt:lpstr>
      <vt:lpstr>Cleaned_Prepared_Data</vt:lpstr>
      <vt:lpstr>Dummy_Variables</vt:lpstr>
      <vt:lpstr>Simple_Reg_Marketing</vt:lpstr>
      <vt:lpstr>Simple_Reg_Footfall</vt:lpstr>
      <vt:lpstr>Multiple_Reg_Output</vt:lpstr>
      <vt:lpstr>Predictions_Residuals</vt:lpstr>
      <vt:lpstr>Model_Comparison</vt:lpstr>
      <vt:lpstr>Formula_Audit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Parul Mital</cp:lastModifiedBy>
  <cp:revision/>
  <dcterms:created xsi:type="dcterms:W3CDTF">2026-06-28T16:51:58Z</dcterms:created>
  <dcterms:modified xsi:type="dcterms:W3CDTF">2026-06-28T17:34:34Z</dcterms:modified>
  <cp:category/>
  <cp:contentStatus/>
</cp:coreProperties>
</file>